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th\AppData\Local\Temp\"/>
    </mc:Choice>
  </mc:AlternateContent>
  <bookViews>
    <workbookView xWindow="4520" yWindow="80" windowWidth="15170" windowHeight="8820"/>
  </bookViews>
  <sheets>
    <sheet name="BOM Report" sheetId="1" r:id="rId1"/>
    <sheet name="Project Information" sheetId="2" r:id="rId2"/>
  </sheets>
  <definedNames>
    <definedName name="_xlnm.Print_Area" localSheetId="0">'BOM Report'!$A$1:$G$78</definedName>
    <definedName name="_xlnm.Print_Titles" localSheetId="0">'BOM Report'!$12:$12</definedName>
  </definedNames>
  <calcPr calcId="162913"/>
</workbook>
</file>

<file path=xl/calcChain.xml><?xml version="1.0" encoding="utf-8"?>
<calcChain xmlns="http://schemas.openxmlformats.org/spreadsheetml/2006/main">
  <c r="C10" i="1" l="1"/>
  <c r="A76" i="1" l="1"/>
</calcChain>
</file>

<file path=xl/sharedStrings.xml><?xml version="1.0" encoding="utf-8"?>
<sst xmlns="http://schemas.openxmlformats.org/spreadsheetml/2006/main" count="358" uniqueCount="283">
  <si>
    <t>Project Full Path</t>
  </si>
  <si>
    <t>Project Filename</t>
  </si>
  <si>
    <t>Variant Name</t>
  </si>
  <si>
    <t>Data-Source Filename</t>
  </si>
  <si>
    <t>Data-Source Full Path</t>
  </si>
  <si>
    <t>Title</t>
  </si>
  <si>
    <t>Total Quantity</t>
  </si>
  <si>
    <t>Report Time</t>
  </si>
  <si>
    <t>Report Date</t>
  </si>
  <si>
    <t>Report Date &amp; Tine</t>
  </si>
  <si>
    <t>Output Name</t>
  </si>
  <si>
    <t>Output Type</t>
  </si>
  <si>
    <t>Output Generator Name</t>
  </si>
  <si>
    <t>Output Generator Description</t>
  </si>
  <si>
    <t>Variante:</t>
  </si>
  <si>
    <t>Version:</t>
  </si>
  <si>
    <t>Kunde:</t>
  </si>
  <si>
    <t>Bestückungsliste / Bill of Materials</t>
  </si>
  <si>
    <t>Bearbeiter:</t>
  </si>
  <si>
    <t>Projekt:</t>
  </si>
  <si>
    <t>Ablageort:</t>
  </si>
  <si>
    <t>Druckdatum:</t>
  </si>
  <si>
    <t>Reportdatum:</t>
  </si>
  <si>
    <t>Graf Elektronik GmbH</t>
  </si>
  <si>
    <t>GRAF_MNP.PrjPcb</t>
  </si>
  <si>
    <t>Standard</t>
  </si>
  <si>
    <t>1.0</t>
  </si>
  <si>
    <t>AnMa</t>
  </si>
  <si>
    <t>28.10.2024 13:31</t>
  </si>
  <si>
    <t>Quantity</t>
  </si>
  <si>
    <t>PG</t>
  </si>
  <si>
    <t>L</t>
  </si>
  <si>
    <t>S</t>
  </si>
  <si>
    <t>K</t>
  </si>
  <si>
    <t>Designator</t>
  </si>
  <si>
    <t>LK100</t>
  </si>
  <si>
    <t>C200, C201, C203, C204, C321, C324, C325, C511, C517, C602, C700, C701, C702, C703, C704, C705, C706</t>
  </si>
  <si>
    <t>C202, C500, C501, C505, C506, C508, C509, C510, C514, C515, C516</t>
  </si>
  <si>
    <t>C300</t>
  </si>
  <si>
    <t>C302, C303, C304, C305, C306, C307, C308, C309, C310, C311, C312, C313, C314, C315, C316, C317, C318, C319</t>
  </si>
  <si>
    <t>C320</t>
  </si>
  <si>
    <t>C322, C323</t>
  </si>
  <si>
    <t>C400, C401, C503</t>
  </si>
  <si>
    <t>C402, C403, C404, C405</t>
  </si>
  <si>
    <t>C502, C504, C507, C513</t>
  </si>
  <si>
    <t>C512, C518</t>
  </si>
  <si>
    <t>C600, C601</t>
  </si>
  <si>
    <t>C603</t>
  </si>
  <si>
    <t>D500, D501</t>
  </si>
  <si>
    <t>D600</t>
  </si>
  <si>
    <t>IC1</t>
  </si>
  <si>
    <t>IC201</t>
  </si>
  <si>
    <t>IC300</t>
  </si>
  <si>
    <t>IC500</t>
  </si>
  <si>
    <t>IC501, IC502</t>
  </si>
  <si>
    <t>IC600</t>
  </si>
  <si>
    <t>IC700, IC701</t>
  </si>
  <si>
    <t>IC702, IC703, IC704</t>
  </si>
  <si>
    <t>L500, L501</t>
  </si>
  <si>
    <t>LED300</t>
  </si>
  <si>
    <t>LED301</t>
  </si>
  <si>
    <t>LED302, LED600, LED601</t>
  </si>
  <si>
    <t>Q200</t>
  </si>
  <si>
    <t>R200, R204, R205, R206, R207, R209, R210, R211, R212, R213, R218, R307, R308, R309, R400, R402, R404, R406, R409, R411, R413, R415, R509, R510, R512, R600, R601, R608, R609, R611, R612</t>
  </si>
  <si>
    <t>R202, R208, R215, R217, R301, R303, R310, R408, R700, R701, R702, R703, R706, R711</t>
  </si>
  <si>
    <t>R304, R305</t>
  </si>
  <si>
    <t>R306, R603, R605</t>
  </si>
  <si>
    <t>R401, R405, R410, R414</t>
  </si>
  <si>
    <t>R403</t>
  </si>
  <si>
    <t>R407, R412</t>
  </si>
  <si>
    <t>R500, R503</t>
  </si>
  <si>
    <t>R501, R502</t>
  </si>
  <si>
    <t>R504</t>
  </si>
  <si>
    <t>R505</t>
  </si>
  <si>
    <t>R506, R508, R704, R705, R708, R710, R713, R715</t>
  </si>
  <si>
    <t>R507</t>
  </si>
  <si>
    <t>R602, R604</t>
  </si>
  <si>
    <t>R606, R607</t>
  </si>
  <si>
    <t>R610</t>
  </si>
  <si>
    <t>R707, R712</t>
  </si>
  <si>
    <t>R709, R714</t>
  </si>
  <si>
    <t>S200</t>
  </si>
  <si>
    <t>S201, S202, S203</t>
  </si>
  <si>
    <t>T300, T301, T302</t>
  </si>
  <si>
    <t>T400, T402, T404</t>
  </si>
  <si>
    <t>T401, T403, T405</t>
  </si>
  <si>
    <t>X400</t>
  </si>
  <si>
    <t>X401</t>
  </si>
  <si>
    <t>X600</t>
  </si>
  <si>
    <t>ET100</t>
  </si>
  <si>
    <t>X202</t>
  </si>
  <si>
    <t>X203</t>
  </si>
  <si>
    <t>X700</t>
  </si>
  <si>
    <t>FID100, FID101, FID102, FID103, FID104, FID105</t>
  </si>
  <si>
    <t>R201, R203, R511</t>
  </si>
  <si>
    <t>R214, R216, R300, R302</t>
  </si>
  <si>
    <t>X200, X201</t>
  </si>
  <si>
    <t>Description</t>
  </si>
  <si>
    <t>Leiterkarte, 1,6mm, FR4, 4-ML, 2xSMT, 35µ, 2xLS, grün, kein BD, chem.Ni/Au, 160.00 x 100.00 mm, UL 94 V-0, TG 130-135</t>
  </si>
  <si>
    <t>Kondensator, CC0603KPX7R9BB104 (Yageo) / VJ0603Y104KXAPW1BC (Vishay), 0603, 100nF, 50V, Keramik, ±10%, X7R, -55°C bis 125°C</t>
  </si>
  <si>
    <t>Kondensator, CL32B106KBJNNNE (Samsung Electronics) / GRM32ER71H106KA12L  (Murata Manufacturing), 1210, 10µF, 50V, Keramik, ±10%, X7R</t>
  </si>
  <si>
    <t>Kondensator, 0603, 4,7µF, 6,3V, Keramik, ±10%, X7R</t>
  </si>
  <si>
    <t>Kondensator, CC0402KPX7R9BB104 (Yageo) / VJ0402Y104KXACW1BC (Vishay), 0402, 100nF, 50V, Keramik, ±10%, X7R</t>
  </si>
  <si>
    <t>Kondensator, 0603YC105KAT2A (AVX) / VJ0603Y105KXJCW1BC (Vishay), 0603, 1µF, 16V, Keramik, ±10%, X7R, -55°C bis 125°C</t>
  </si>
  <si>
    <t>Kondensator, GRM188R71A225KE15D (Murata), 0603, 2,2µF, 10V, Keramik, ±10%, X7R, -55°C bis 125°C</t>
  </si>
  <si>
    <t>Kondensator, 1206B105K500CT (Walsin) / 12065C105KAT2A (KYOCERA AVX Components Corporation) / C3216X7R1H105K160AB (TDK) / GRM31MR71H105KA88L  (Murata), 1206, 1µF, 50V, Keramik, ±10%, X7R</t>
  </si>
  <si>
    <t>Kondensator, CC0603KPX7R9BB102 (Yageo) / 06035C102KAT4A (AVX) / 06035C102KAT2A (AVX), 0603, 1nF, 50V, Keramik, ±10%, X7R, -55°C bis 125°C, RoHS konform</t>
  </si>
  <si>
    <t>Kondensator, CC0603KPX7R9BB103 (Yageo) / VJ0603Y103KXAPW1BC (Vishay), 0603, 10nF, 50V, Keramik, ±10%, X7R, -55°C bis 125°C</t>
  </si>
  <si>
    <t>Kondensator, C3216X5R1E476M160AC (TDK) / C3216JB1E476M160AC (TDK), 1206, 47µF, 25V, Keramik, ±20%, -25°C bis 85°C, JB</t>
  </si>
  <si>
    <t>Kondensator, VJ0603A470JXACW1BC (Vishay), 0603, 47pF, 50V, Keramik, ±5%, NP0/C0G, -55°C bis 125°C</t>
  </si>
  <si>
    <t>Kondensator, VJ1206Y102KXFTW1BC (Vishay), 1206, 1nF, 2000V, Keramik, ±10%, X7R</t>
  </si>
  <si>
    <t>Diode, MBRS340T3G (onsemi), Schottky, SMC, If=4A, Uf=0,5V, Urrm=40V</t>
  </si>
  <si>
    <t>IC, USB6B1RL (STMicroelectronics), SO8, Diodenarray, Tranzorb</t>
  </si>
  <si>
    <t>IC, STM32F746NGH6 (STMicroelectronics), TFBGA216, 32-Bit-Mikrocontroller, 1 MB</t>
  </si>
  <si>
    <t>IC, AD5684RARUZ (Analog Devices), TSSOP16, DAC 12BIT SPI QUAD</t>
  </si>
  <si>
    <t>IC, ADR3425ARJZ-R2 (Analog Devices) / ADR3425ARJZ-R7 (Analog Devices), SOT23-6, Spannungsreferenz, 2,5V, -40°C bis 125°C</t>
  </si>
  <si>
    <t>IC, LTC3260EMSE#PBF (Analog Devices) / LTC3260EMSE#TRPBF (Analog Devices), MSOP16, Low Noise Dual Supply Inverting Charge Pump, -40°C bis 125°C</t>
  </si>
  <si>
    <t>IC, LM2676SX-ADJ/NOPB (Texas Instruments) / LM2676S-ADJ/NOPB (Texas Instruments), TO263, Spannungsregler</t>
  </si>
  <si>
    <t>IC, FT230XQ-R (FTDI Chip) / FT230XQ-T (FTDI Chip), QFN16, I/F, USB2.0 FS TO BASIC UART, -40°C bis 85°C</t>
  </si>
  <si>
    <t>IC, SN74LXCH8T245RHLR  (Texas Instruments), VQFN24, 8-BIT DUAL-SUPPLY BUS TRANSCEIVE, -40°C bis 125°C</t>
  </si>
  <si>
    <t>IC, OP2177ARMZ (Analog Devices) / OP2177ARMZ-REEL (Analog Devices) / OP2177ARMZ-R7 (Analog Devices), MSOP8, Operation Amplifier</t>
  </si>
  <si>
    <t>Induktivität, 744 770 133 (Wurth Elektronik GmbH &amp; Co. KG), 2 pol SMT, 33µH, 20%, Speicherdrossel, 44,000mR, IR=3,9A</t>
  </si>
  <si>
    <t>LED, KP-1608SURC (Kingbright), 0603, rot</t>
  </si>
  <si>
    <t>LED, KP-1608SYCK (Kingbright), 0603, gelb, 300,00mcd, 2,50mA, 120°</t>
  </si>
  <si>
    <t>LED, KP-1608SGC (Kingbright), 0603, grün, 5,00mcd - 12,00mcd, 2,20V, 20,00mA, 120°, 565,0nm, klar, -40°C bis 85°C</t>
  </si>
  <si>
    <t>Quarz, S52505T-25.000-X-LE1.0-R  (Aker Technology) / ECS-5032MV-250-CN-TR (ECS, Inc. International), 4 pol SMT, Quarzoszillator, 25MHz, 50ppm</t>
  </si>
  <si>
    <t>Widerstand, RC0603FR-1310KP (Yageo) / CRCW060310K0FKTCBC (Vishay), 0603, 10k, 100mW, 1%, Metall, Chip, TK100, -55°C bis 125°C</t>
  </si>
  <si>
    <t>Widerstand, RC0603JR-130RP (Yageo) / CRCW06030000Z0TCBC (Vishay), 0603, 0R, 100mW, 5%, Jumper, Chip, -55°C bis 125°C</t>
  </si>
  <si>
    <t>Widerstand, 0603, 287R, 100mW, 1%, Metall, Chip, TK100</t>
  </si>
  <si>
    <t>Widerstand, RC0603FR-13220RP (Yageo) / CRCW0603220RFKTABC (Vishay), 0603, 220R, 1%, Metall, Chip, TK100, -55°C bis 155°C</t>
  </si>
  <si>
    <t>Widerstand, 0603, 20R, 1%, Metall, Chip, TK100, -55°C bis 155°C</t>
  </si>
  <si>
    <t>Widerstand, WR06X47R0FTR (Walsin) / CRCW060347R0FKTBBC (Vishay), 0603, 47R, 1%, Metall, Chip, TK100</t>
  </si>
  <si>
    <t>Widerstand, RC0603FR-1333RP (Yageo) / CRCW060333R0FKTBBC (Vishay), 0603, 33R, 1%, Metall, Chip, TK100, -55°C bis 155°C</t>
  </si>
  <si>
    <t>Widerstand, 0603, 909k, 1%, Metall, Chip, TK100</t>
  </si>
  <si>
    <t>Widerstand, RC0603FR-13100KP (Yageo) / CRCW0603100KFKTCBC (Vishay), 0603, 100k, 100mW, 1%, Metall, Chip, TK100, -55°C bis 125°C</t>
  </si>
  <si>
    <t>Widerstand, WR06X2003FTR (Walsin) / CRCW0603200KFKTCBC (Vishay), 0603, 200k, 1%, Metall, Chip, TK100</t>
  </si>
  <si>
    <t>Widerstand, 0603, 1,74k, 1%, Metall, Chip, TK100</t>
  </si>
  <si>
    <t>Widerstand, RC0603FR-131KP (Yageo) / CRCW06031K00FKTCBC (Vishay), 0603, 1k, 100mW, 1%, Metall, Chip, TK100, -55°C bis 125°C</t>
  </si>
  <si>
    <t>Widerstand, 0603, 3,16k, 1%, Metall, Chip, TK100</t>
  </si>
  <si>
    <t>Widerstand, RC0603FR-0727RP (Yageo) / CRCW060327R0FKTABC (Vishay), 0603, 27R, 1%, Metall, Chip, TK100</t>
  </si>
  <si>
    <t>Widerstand, RC0603FR-075K1P (Yageo) / WR06X5101FTR (Walsin Technology) / CRCW06035K1FKTCBC (Vishay), 0603, 5,1k, 100mW, 1%, Metall, Chip, TK100</t>
  </si>
  <si>
    <t>Widerstand, WR12X000 PTR (Walsin) / CRCW12060000Z0TCBC (Vishay), 1206, 0R, 250mW, 5%, Jumper, Chip, -55°C bis 125°C</t>
  </si>
  <si>
    <t>Widerstand, ERA3ARB102V (Panasonic), 0603, 1k, 0,1%, Metall, Chip, TK10</t>
  </si>
  <si>
    <t>Widerstand, ERA3ARB202V (Panasonic) / RN73C1J2K0BTDG (TE Connectivity) / 5-1879360-6 (TE Connectivity) / 5-1614352-1 (TE Connectivity), 0603, 2k, 0,1%, Metall, Dünnschicht, TK10, -55°C bis 155°C</t>
  </si>
  <si>
    <t>Schalter/Taster, KMT211NGHFLFS (C&amp;K), 4 pol SMT, SMD Taster, -40°C bis 85°C</t>
  </si>
  <si>
    <t>Schalter/Taster, KSC2 TE 01J LFS (C&amp;K), 4 pol SMT, SMD Taster, 6,3x6,2mm,  SPST-Schließer, 1,6N, IP67, h=3,5mm, -40°C bis 90°C</t>
  </si>
  <si>
    <t>Transistor, BSS138 (onsemi) / BSS138LT1G (onsemi) / BSS138LT3G (onsemi), SOT23, MOSFET, N-Channel, 50V, 200,00mA, -55°C bis 150°C</t>
  </si>
  <si>
    <t>Transistor, BSS84AKW (Nexperia), SOT323, MOSFET, P-Channel, 50V, 150,00mA</t>
  </si>
  <si>
    <t>Transistor, BSS123-7-F (Diodes Incorporated), SOT23, MOSFET, N-Channel, 100V, 170mA, 200mW</t>
  </si>
  <si>
    <t>Steckverbinder, FH12-20S-0.5SH(55) (Hirose), 20 pol SMT, FFC/FPC, ZIF, 20pol, RM0,5</t>
  </si>
  <si>
    <t>Steckverbinder, 53261-0471 (Molex) / 53261-0490 (Molex), 4 pol SMT, Micro-Stecker gewinkelt, 4pol M, RM1,25</t>
  </si>
  <si>
    <t>Steckverbinder, 632 723 300 011 (Wurth Elektronik GmbH &amp; Co. KG), 30 pol SMT, USB 3.1 Typ C liegend</t>
  </si>
  <si>
    <t>Klebeetiketten, 301-08324, SK Etikette, 3-bahnig, PE weiss matt, 20x8mm</t>
  </si>
  <si>
    <t>Steckverbinder, 09 18 520 6324 (HARTING Technology Group), 20 pol, Wannenleiste gerade, 20pol M, RM2,54</t>
  </si>
  <si>
    <t>Steckverbinder, 943-11-006-00 (W+P Products), 6 pol, Stiftleiste gerade, 1x6pol h = 6 mm M Gold, RM2,54</t>
  </si>
  <si>
    <t>Steckverbinder, 09031646921 (HARTING Technology Group), 64 pol, DIN-Steckverbinder  gewinkelt, 64pol 3-reihig Lötpins M, -55°C bis 125°C Gold, RM2,54, 20mR, 2,00A, 1000Vac, 1,00M, grau</t>
  </si>
  <si>
    <t>FIDUCIAL "rund" 1mm</t>
  </si>
  <si>
    <t>Steckverbinder, 943-11-002-00 (W+P Products), 2 pol, Stiftleiste gerade, 1x2pol h = 6 mm M Gold, RM2,54</t>
  </si>
  <si>
    <t>ValueA</t>
  </si>
  <si>
    <t>100nF</t>
  </si>
  <si>
    <t>10µF</t>
  </si>
  <si>
    <t>4,7µF</t>
  </si>
  <si>
    <t>1µF</t>
  </si>
  <si>
    <t>2,2µF</t>
  </si>
  <si>
    <t>1nF</t>
  </si>
  <si>
    <t>10nF</t>
  </si>
  <si>
    <t>47µF</t>
  </si>
  <si>
    <t>47pF</t>
  </si>
  <si>
    <t>MBRS340T3G</t>
  </si>
  <si>
    <t>USB6B1RL</t>
  </si>
  <si>
    <t>STM32F746NGH6</t>
  </si>
  <si>
    <t>AD5684RARUZ</t>
  </si>
  <si>
    <t>ADR3425ARJZ-R2</t>
  </si>
  <si>
    <t>LTC3260EMSE#PBF</t>
  </si>
  <si>
    <t>LM2676SX-ADJ/NOPB</t>
  </si>
  <si>
    <t>FT230XQ-R</t>
  </si>
  <si>
    <t>SN74LXCH8T245RHLR</t>
  </si>
  <si>
    <t>OP2177ARMZ</t>
  </si>
  <si>
    <t>33µH</t>
  </si>
  <si>
    <t>KP-1608SURC</t>
  </si>
  <si>
    <t>KP-1608SYCK</t>
  </si>
  <si>
    <t>KP-1608SGC</t>
  </si>
  <si>
    <t>25MHz</t>
  </si>
  <si>
    <t>10k</t>
  </si>
  <si>
    <t>0R</t>
  </si>
  <si>
    <t>287R</t>
  </si>
  <si>
    <t>220R</t>
  </si>
  <si>
    <t>20R</t>
  </si>
  <si>
    <t>47R</t>
  </si>
  <si>
    <t>33R</t>
  </si>
  <si>
    <t>909k</t>
  </si>
  <si>
    <t>100k</t>
  </si>
  <si>
    <t>200k</t>
  </si>
  <si>
    <t>1,74k</t>
  </si>
  <si>
    <t>1k</t>
  </si>
  <si>
    <t>3,16k</t>
  </si>
  <si>
    <t>27R</t>
  </si>
  <si>
    <t>5,1k</t>
  </si>
  <si>
    <t>2k</t>
  </si>
  <si>
    <t>KMT211NGHFLFS</t>
  </si>
  <si>
    <t>KSC2 TE 01J LFS</t>
  </si>
  <si>
    <t>BSS138</t>
  </si>
  <si>
    <t>BSS84AKW</t>
  </si>
  <si>
    <t>BSS123-7-F</t>
  </si>
  <si>
    <t>FH12-20S-0.5SH(55)</t>
  </si>
  <si>
    <t>53261-0471</t>
  </si>
  <si>
    <t>632 723 300 011</t>
  </si>
  <si>
    <t>301-08324</t>
  </si>
  <si>
    <t>09 18 520 6324</t>
  </si>
  <si>
    <t>943-11-006-00</t>
  </si>
  <si>
    <t>943-11-002-00</t>
  </si>
  <si>
    <t>Ident</t>
  </si>
  <si>
    <t>LKGRAFMNP_10</t>
  </si>
  <si>
    <t>KO104V50-S10</t>
  </si>
  <si>
    <t>KO106V50-S60</t>
  </si>
  <si>
    <t>KO4756V3-S11</t>
  </si>
  <si>
    <t>KO104V50-S03</t>
  </si>
  <si>
    <t>KO105V63-S26</t>
  </si>
  <si>
    <t>KO225V10-S11</t>
  </si>
  <si>
    <t>KO105V63-S20</t>
  </si>
  <si>
    <t>KO102V50-S35</t>
  </si>
  <si>
    <t>KO103V63-S52</t>
  </si>
  <si>
    <t>KO476V25-S15</t>
  </si>
  <si>
    <t>KO470V63-S16</t>
  </si>
  <si>
    <t>KO102V2000-S15</t>
  </si>
  <si>
    <t>DIMBRS340-S11</t>
  </si>
  <si>
    <t>ICUSB6B1-S10</t>
  </si>
  <si>
    <t>ICSTM32F746-S11</t>
  </si>
  <si>
    <t>ICAD5684-S00</t>
  </si>
  <si>
    <t>ICADR3425ARJ-S10</t>
  </si>
  <si>
    <t>ICLTC3260-S10</t>
  </si>
  <si>
    <t>ICLM2676ADJ-S11</t>
  </si>
  <si>
    <t>ICFT230XQ-S10</t>
  </si>
  <si>
    <t>ICSN74LXCH-S00</t>
  </si>
  <si>
    <t>ICOP2177ARM-S10</t>
  </si>
  <si>
    <t>PAI336B-S11</t>
  </si>
  <si>
    <t>DIKP-1608SURC-S10</t>
  </si>
  <si>
    <t>DIKP-1608SYCK-S10</t>
  </si>
  <si>
    <t>DIKP-1608SGC-S10</t>
  </si>
  <si>
    <t>HAQU25.00-S10</t>
  </si>
  <si>
    <t>WI1002-S17</t>
  </si>
  <si>
    <t>WI000R-S22</t>
  </si>
  <si>
    <t>WI2870-S10</t>
  </si>
  <si>
    <t>WI2200-S18</t>
  </si>
  <si>
    <t>WI20R0-S12</t>
  </si>
  <si>
    <t>WI47R0-S17</t>
  </si>
  <si>
    <t>WI33E0-S17</t>
  </si>
  <si>
    <t>WI9093-S00</t>
  </si>
  <si>
    <t>WI1003-S16</t>
  </si>
  <si>
    <t>WI2003-S15</t>
  </si>
  <si>
    <t>WI1741-S10</t>
  </si>
  <si>
    <t>WI1001-S19</t>
  </si>
  <si>
    <t>WI3161-S17</t>
  </si>
  <si>
    <t>WI27R0-S13</t>
  </si>
  <si>
    <t>WI5101-S16</t>
  </si>
  <si>
    <t>WI000R-S20</t>
  </si>
  <si>
    <t>WI1001-S42</t>
  </si>
  <si>
    <t>WI2001-S22</t>
  </si>
  <si>
    <t>PATASTKMT2-S10</t>
  </si>
  <si>
    <t>TAST_KSC2TE01J-S00</t>
  </si>
  <si>
    <t>TRBSS138-S20</t>
  </si>
  <si>
    <t>TRBSS84-S11</t>
  </si>
  <si>
    <t>TRBSS123-S20</t>
  </si>
  <si>
    <t>PABUFH12-S21</t>
  </si>
  <si>
    <t>STSMDW53261-4P-S20</t>
  </si>
  <si>
    <t>ST632723300011-S10</t>
  </si>
  <si>
    <t>ETI20X8</t>
  </si>
  <si>
    <t>ST20G-K10</t>
  </si>
  <si>
    <t>ST106G06-K12</t>
  </si>
  <si>
    <t>ST09031646921-K00</t>
  </si>
  <si>
    <t>AD-FID-O-1.0MM</t>
  </si>
  <si>
    <t>ST102G06-K12</t>
  </si>
  <si>
    <t>Notes</t>
  </si>
  <si>
    <t>siehe Bestückungshinweis</t>
  </si>
  <si>
    <t>I:\lehrling_ausbildung\Projektpraktikum\GRAF_MNP\Elektronik\Controller\GRAF_MNP.PrjPcb</t>
  </si>
  <si>
    <t>BL for Variant [Standard] of Project [GRAF_MNP.PrjPcb] (No PCB Document Selected)</t>
  </si>
  <si>
    <t>197</t>
  </si>
  <si>
    <t>13:31</t>
  </si>
  <si>
    <t>28.10.2024</t>
  </si>
  <si>
    <t>BL</t>
  </si>
  <si>
    <t>BomReport</t>
  </si>
  <si>
    <t>BOM</t>
  </si>
  <si>
    <t>Bill of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</si>
</sst>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u/>
      <sz val="10"/>
      <color indexed="36"/>
      <name val="Arial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9"/>
      <name val="Arial"/>
      <family val="2"/>
    </font>
    <font>
      <b/>
      <sz val="20"/>
      <color rgb="FF004687"/>
      <name val="Arial"/>
      <family val="2"/>
    </font>
    <font>
      <sz val="10"/>
      <color rgb="FF004687"/>
      <name val="Arial"/>
      <family val="2"/>
    </font>
    <font>
      <b/>
      <sz val="9"/>
      <color rgb="FF004687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E1E8FA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B4C7F0"/>
      </right>
      <top style="thin">
        <color rgb="FFB4C7F0"/>
      </top>
      <bottom style="thin">
        <color rgb="FFB4C7F0"/>
      </bottom>
      <diagonal/>
    </border>
    <border>
      <left style="thin">
        <color rgb="FFB4C7F0"/>
      </left>
      <right style="thin">
        <color rgb="FFB4C7F0"/>
      </right>
      <top style="thin">
        <color rgb="FFB4C7F0"/>
      </top>
      <bottom style="thin">
        <color rgb="FFB4C7F0"/>
      </bottom>
      <diagonal/>
    </border>
    <border>
      <left style="thin">
        <color rgb="FFB4C7F0"/>
      </left>
      <right/>
      <top style="thin">
        <color rgb="FFB4C7F0"/>
      </top>
      <bottom style="thin">
        <color rgb="FFB4C7F0"/>
      </bottom>
      <diagonal/>
    </border>
    <border>
      <left style="thin">
        <color rgb="FF004687"/>
      </left>
      <right/>
      <top/>
      <bottom/>
      <diagonal/>
    </border>
    <border>
      <left/>
      <right style="thin">
        <color rgb="FF004687"/>
      </right>
      <top/>
      <bottom/>
      <diagonal/>
    </border>
    <border>
      <left style="thin">
        <color rgb="FF004687"/>
      </left>
      <right style="thin">
        <color rgb="FF004687"/>
      </right>
      <top/>
      <bottom style="thin">
        <color rgb="FF004687"/>
      </bottom>
      <diagonal/>
    </border>
    <border>
      <left/>
      <right/>
      <top/>
      <bottom style="thin">
        <color rgb="FF004687"/>
      </bottom>
      <diagonal/>
    </border>
    <border>
      <left style="thin">
        <color rgb="FF004687"/>
      </left>
      <right/>
      <top style="thin">
        <color rgb="FF004687"/>
      </top>
      <bottom style="thin">
        <color rgb="FF004687"/>
      </bottom>
      <diagonal/>
    </border>
    <border>
      <left/>
      <right/>
      <top style="thin">
        <color rgb="FF004687"/>
      </top>
      <bottom style="thin">
        <color rgb="FF004687"/>
      </bottom>
      <diagonal/>
    </border>
    <border>
      <left/>
      <right style="thin">
        <color rgb="FF004687"/>
      </right>
      <top style="thin">
        <color rgb="FF004687"/>
      </top>
      <bottom style="thin">
        <color rgb="FF004687"/>
      </bottom>
      <diagonal/>
    </border>
    <border>
      <left style="thin">
        <color rgb="FFB4C7F0"/>
      </left>
      <right style="thin">
        <color rgb="FFB4C7F0"/>
      </right>
      <top style="thin">
        <color rgb="FFB4C7F0"/>
      </top>
      <bottom/>
      <diagonal/>
    </border>
    <border>
      <left/>
      <right style="thin">
        <color rgb="FFB4C7F0"/>
      </right>
      <top style="thin">
        <color rgb="FFB4C7F0"/>
      </top>
      <bottom/>
      <diagonal/>
    </border>
    <border>
      <left style="thin">
        <color rgb="FFB4C7F0"/>
      </left>
      <right/>
      <top style="thin">
        <color rgb="FFB4C7F0"/>
      </top>
      <bottom/>
      <diagonal/>
    </border>
    <border>
      <left/>
      <right style="thin">
        <color rgb="FFB4C7F0"/>
      </right>
      <top/>
      <bottom style="thin">
        <color rgb="FFB4C7F0"/>
      </bottom>
      <diagonal/>
    </border>
    <border>
      <left style="thin">
        <color rgb="FFB4C7F0"/>
      </left>
      <right style="thin">
        <color rgb="FFB4C7F0"/>
      </right>
      <top/>
      <bottom style="thin">
        <color rgb="FFB4C7F0"/>
      </bottom>
      <diagonal/>
    </border>
    <border>
      <left style="thin">
        <color rgb="FFB4C7F0"/>
      </left>
      <right/>
      <top/>
      <bottom style="thin">
        <color rgb="FFB4C7F0"/>
      </bottom>
      <diagonal/>
    </border>
    <border>
      <left/>
      <right style="thin">
        <color rgb="FFB4C7F0"/>
      </right>
      <top/>
      <bottom style="thin">
        <color rgb="FF004687"/>
      </bottom>
      <diagonal/>
    </border>
    <border>
      <left style="thin">
        <color rgb="FFB4C7F0"/>
      </left>
      <right style="thin">
        <color rgb="FFB4C7F0"/>
      </right>
      <top/>
      <bottom style="thin">
        <color rgb="FF004687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004687"/>
      </top>
      <bottom/>
      <diagonal/>
    </border>
    <border>
      <left style="thin">
        <color rgb="FF004687"/>
      </left>
      <right/>
      <top style="thin">
        <color rgb="FF004687"/>
      </top>
      <bottom/>
      <diagonal/>
    </border>
    <border>
      <left/>
      <right style="thin">
        <color rgb="FF004687"/>
      </right>
      <top style="thin">
        <color rgb="FF004687"/>
      </top>
      <bottom/>
      <diagonal/>
    </border>
    <border>
      <left style="thin">
        <color rgb="FF004687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4687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7" fillId="4" borderId="0" applyNumberFormat="0" applyBorder="0" applyAlignment="0" applyProtection="0"/>
    <xf numFmtId="0" fontId="1" fillId="5" borderId="0" applyNumberFormat="0" applyBorder="0" applyAlignment="0" applyProtection="0"/>
  </cellStyleXfs>
  <cellXfs count="73">
    <xf numFmtId="0" fontId="0" fillId="0" borderId="0" xfId="0"/>
    <xf numFmtId="0" fontId="0" fillId="0" borderId="0" xfId="0" applyAlignment="1">
      <alignment vertical="top"/>
    </xf>
    <xf numFmtId="0" fontId="4" fillId="0" borderId="0" xfId="0" applyFont="1" applyBorder="1" applyAlignment="1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3" fillId="3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3" fillId="2" borderId="3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0" borderId="0" xfId="0" applyFont="1" applyBorder="1" applyAlignment="1"/>
    <xf numFmtId="0" fontId="6" fillId="0" borderId="0" xfId="0" applyFont="1" applyAlignment="1">
      <alignment vertical="top" wrapText="1"/>
    </xf>
    <xf numFmtId="0" fontId="3" fillId="0" borderId="0" xfId="0" applyFont="1" applyFill="1" applyAlignment="1">
      <alignment vertical="center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/>
    <xf numFmtId="0" fontId="2" fillId="0" borderId="0" xfId="0" applyFont="1" applyBorder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Fill="1" applyBorder="1" applyAlignment="1">
      <alignment vertical="top"/>
    </xf>
    <xf numFmtId="0" fontId="0" fillId="0" borderId="7" xfId="0" applyFont="1" applyFill="1" applyBorder="1" applyAlignment="1">
      <alignment vertical="top" wrapText="1" shrinkToFit="1"/>
    </xf>
    <xf numFmtId="0" fontId="0" fillId="0" borderId="8" xfId="0" applyFont="1" applyFill="1" applyBorder="1" applyAlignment="1">
      <alignment horizontal="left" vertical="top" wrapText="1" shrinkToFit="1"/>
    </xf>
    <xf numFmtId="0" fontId="2" fillId="0" borderId="11" xfId="0" applyFont="1" applyBorder="1" applyAlignment="1"/>
    <xf numFmtId="0" fontId="2" fillId="0" borderId="10" xfId="0" applyFont="1" applyBorder="1" applyAlignment="1"/>
    <xf numFmtId="1" fontId="2" fillId="0" borderId="11" xfId="0" applyNumberFormat="1" applyFont="1" applyFill="1" applyBorder="1" applyAlignment="1">
      <alignment vertical="top"/>
    </xf>
    <xf numFmtId="14" fontId="2" fillId="0" borderId="10" xfId="0" applyNumberFormat="1" applyFont="1" applyBorder="1" applyAlignment="1">
      <alignment vertical="top"/>
    </xf>
    <xf numFmtId="0" fontId="8" fillId="6" borderId="14" xfId="3" applyNumberFormat="1" applyFont="1" applyFill="1" applyBorder="1" applyAlignment="1" applyProtection="1">
      <alignment vertical="top" wrapText="1"/>
      <protection locked="0"/>
    </xf>
    <xf numFmtId="0" fontId="8" fillId="6" borderId="15" xfId="3" applyNumberFormat="1" applyFont="1" applyFill="1" applyBorder="1" applyAlignment="1" applyProtection="1">
      <alignment horizontal="left" vertical="top" wrapText="1"/>
      <protection locked="0"/>
    </xf>
    <xf numFmtId="0" fontId="8" fillId="6" borderId="15" xfId="3" applyNumberFormat="1" applyFont="1" applyFill="1" applyBorder="1" applyAlignment="1" applyProtection="1">
      <alignment vertical="top" wrapText="1"/>
      <protection locked="0"/>
    </xf>
    <xf numFmtId="0" fontId="8" fillId="6" borderId="16" xfId="3" applyNumberFormat="1" applyFont="1" applyFill="1" applyBorder="1" applyAlignment="1" applyProtection="1">
      <alignment vertical="top" wrapText="1"/>
      <protection locked="0"/>
    </xf>
    <xf numFmtId="0" fontId="0" fillId="0" borderId="17" xfId="0" applyFont="1" applyBorder="1" applyAlignment="1">
      <alignment horizontal="left" vertical="top" wrapText="1" shrinkToFit="1"/>
    </xf>
    <xf numFmtId="0" fontId="0" fillId="0" borderId="18" xfId="0" applyFont="1" applyBorder="1" applyAlignment="1">
      <alignment vertical="top" wrapText="1" shrinkToFit="1"/>
    </xf>
    <xf numFmtId="0" fontId="0" fillId="0" borderId="20" xfId="0" applyFont="1" applyFill="1" applyBorder="1" applyAlignment="1">
      <alignment vertical="top" wrapText="1" shrinkToFit="1"/>
    </xf>
    <xf numFmtId="0" fontId="0" fillId="0" borderId="21" xfId="0" applyFont="1" applyFill="1" applyBorder="1" applyAlignment="1">
      <alignment horizontal="left" vertical="top" wrapText="1" shrinkToFit="1"/>
    </xf>
    <xf numFmtId="0" fontId="12" fillId="6" borderId="24" xfId="0" applyFont="1" applyFill="1" applyBorder="1" applyAlignment="1">
      <alignment horizontal="left" vertical="center"/>
    </xf>
    <xf numFmtId="1" fontId="11" fillId="6" borderId="12" xfId="2" applyNumberFormat="1" applyFont="1" applyFill="1" applyBorder="1" applyAlignment="1">
      <alignment vertical="top"/>
    </xf>
    <xf numFmtId="0" fontId="2" fillId="0" borderId="25" xfId="0" applyFont="1" applyBorder="1" applyAlignment="1"/>
    <xf numFmtId="14" fontId="2" fillId="0" borderId="0" xfId="0" applyNumberFormat="1" applyFont="1" applyBorder="1" applyAlignment="1">
      <alignment vertical="top"/>
    </xf>
    <xf numFmtId="0" fontId="3" fillId="0" borderId="1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11" fillId="6" borderId="26" xfId="0" applyFont="1" applyFill="1" applyBorder="1" applyAlignment="1">
      <alignment horizontal="left"/>
    </xf>
    <xf numFmtId="14" fontId="2" fillId="0" borderId="0" xfId="0" applyNumberFormat="1" applyFont="1" applyBorder="1" applyAlignment="1">
      <alignment horizontal="left"/>
    </xf>
    <xf numFmtId="164" fontId="2" fillId="0" borderId="0" xfId="0" applyNumberFormat="1" applyFont="1" applyBorder="1" applyAlignment="1">
      <alignment horizontal="left"/>
    </xf>
    <xf numFmtId="0" fontId="10" fillId="6" borderId="27" xfId="0" applyFont="1" applyFill="1" applyBorder="1" applyAlignment="1">
      <alignment vertical="center"/>
    </xf>
    <xf numFmtId="0" fontId="10" fillId="6" borderId="26" xfId="0" applyFont="1" applyFill="1" applyBorder="1" applyAlignment="1">
      <alignment vertical="center"/>
    </xf>
    <xf numFmtId="0" fontId="8" fillId="6" borderId="26" xfId="3" applyFont="1" applyFill="1" applyBorder="1" applyAlignment="1">
      <alignment horizontal="left" vertical="center"/>
    </xf>
    <xf numFmtId="0" fontId="8" fillId="6" borderId="28" xfId="3" applyFont="1" applyFill="1" applyBorder="1" applyAlignment="1"/>
    <xf numFmtId="0" fontId="3" fillId="0" borderId="29" xfId="0" applyFont="1" applyBorder="1" applyAlignment="1">
      <alignment horizontal="left"/>
    </xf>
    <xf numFmtId="0" fontId="3" fillId="0" borderId="30" xfId="0" applyFont="1" applyBorder="1" applyAlignment="1">
      <alignment horizontal="left"/>
    </xf>
    <xf numFmtId="0" fontId="3" fillId="0" borderId="30" xfId="0" applyFont="1" applyBorder="1" applyAlignment="1"/>
    <xf numFmtId="0" fontId="0" fillId="0" borderId="30" xfId="0" applyBorder="1" applyAlignment="1">
      <alignment vertical="top"/>
    </xf>
    <xf numFmtId="0" fontId="2" fillId="0" borderId="30" xfId="0" applyFont="1" applyBorder="1" applyAlignment="1"/>
    <xf numFmtId="0" fontId="2" fillId="0" borderId="31" xfId="0" applyFont="1" applyBorder="1" applyAlignment="1"/>
    <xf numFmtId="0" fontId="0" fillId="0" borderId="20" xfId="0" applyFont="1" applyFill="1" applyBorder="1" applyAlignment="1">
      <alignment horizontal="center" vertical="top" wrapText="1" shrinkToFit="1"/>
    </xf>
    <xf numFmtId="0" fontId="0" fillId="0" borderId="7" xfId="0" applyFont="1" applyFill="1" applyBorder="1" applyAlignment="1">
      <alignment horizontal="center" vertical="top" wrapText="1" shrinkToFit="1"/>
    </xf>
    <xf numFmtId="0" fontId="0" fillId="0" borderId="18" xfId="0" applyFont="1" applyBorder="1" applyAlignment="1">
      <alignment horizontal="center" vertical="top" wrapText="1" shrinkToFit="1"/>
    </xf>
    <xf numFmtId="0" fontId="12" fillId="6" borderId="23" xfId="0" applyFont="1" applyFill="1" applyBorder="1" applyAlignment="1">
      <alignment horizontal="center" vertical="center"/>
    </xf>
    <xf numFmtId="0" fontId="12" fillId="6" borderId="23" xfId="0" applyFont="1" applyFill="1" applyBorder="1" applyAlignment="1">
      <alignment horizontal="left" vertical="center"/>
    </xf>
    <xf numFmtId="0" fontId="12" fillId="6" borderId="13" xfId="0" applyFont="1" applyFill="1" applyBorder="1" applyAlignment="1">
      <alignment horizontal="left" vertical="center"/>
    </xf>
    <xf numFmtId="0" fontId="9" fillId="0" borderId="21" xfId="0" applyFont="1" applyFill="1" applyBorder="1" applyAlignment="1">
      <alignment horizontal="left" vertical="top" wrapText="1" shrinkToFit="1"/>
    </xf>
    <xf numFmtId="0" fontId="9" fillId="0" borderId="8" xfId="0" applyFont="1" applyFill="1" applyBorder="1" applyAlignment="1">
      <alignment horizontal="left" vertical="top" wrapText="1" shrinkToFit="1"/>
    </xf>
    <xf numFmtId="1" fontId="0" fillId="0" borderId="8" xfId="0" applyNumberFormat="1" applyFont="1" applyFill="1" applyBorder="1" applyAlignment="1">
      <alignment horizontal="left" vertical="top" wrapText="1" shrinkToFit="1"/>
    </xf>
    <xf numFmtId="1" fontId="0" fillId="0" borderId="17" xfId="0" applyNumberFormat="1" applyFont="1" applyFill="1" applyBorder="1" applyAlignment="1">
      <alignment horizontal="left" vertical="top" wrapText="1" shrinkToFit="1"/>
    </xf>
    <xf numFmtId="1" fontId="0" fillId="0" borderId="21" xfId="0" applyNumberFormat="1" applyFont="1" applyFill="1" applyBorder="1" applyAlignment="1">
      <alignment horizontal="left" vertical="top" wrapText="1" shrinkToFit="1"/>
    </xf>
    <xf numFmtId="1" fontId="0" fillId="0" borderId="22" xfId="0" applyNumberFormat="1" applyFont="1" applyFill="1" applyBorder="1" applyAlignment="1">
      <alignment horizontal="left" vertical="top" wrapText="1" shrinkToFit="1"/>
    </xf>
    <xf numFmtId="1" fontId="0" fillId="0" borderId="9" xfId="0" applyNumberFormat="1" applyFont="1" applyFill="1" applyBorder="1" applyAlignment="1">
      <alignment horizontal="left" vertical="top" wrapText="1" shrinkToFit="1"/>
    </xf>
    <xf numFmtId="1" fontId="0" fillId="0" borderId="19" xfId="0" applyNumberFormat="1" applyFont="1" applyFill="1" applyBorder="1" applyAlignment="1">
      <alignment horizontal="left" vertical="top" wrapText="1" shrinkToFit="1"/>
    </xf>
    <xf numFmtId="0" fontId="3" fillId="0" borderId="30" xfId="0" quotePrefix="1" applyFont="1" applyBorder="1" applyAlignment="1">
      <alignment horizontal="left"/>
    </xf>
    <xf numFmtId="0" fontId="3" fillId="0" borderId="0" xfId="0" quotePrefix="1" applyFont="1" applyBorder="1" applyAlignment="1">
      <alignment horizontal="left"/>
    </xf>
    <xf numFmtId="0" fontId="2" fillId="0" borderId="0" xfId="0" quotePrefix="1" applyFont="1" applyBorder="1" applyAlignment="1">
      <alignment horizontal="left"/>
    </xf>
    <xf numFmtId="0" fontId="0" fillId="3" borderId="2" xfId="0" quotePrefix="1" applyFill="1" applyBorder="1" applyAlignment="1">
      <alignment horizontal="left" vertical="center"/>
    </xf>
    <xf numFmtId="0" fontId="0" fillId="2" borderId="4" xfId="0" quotePrefix="1" applyFill="1" applyBorder="1" applyAlignment="1">
      <alignment horizontal="left" vertical="center"/>
    </xf>
    <xf numFmtId="0" fontId="0" fillId="3" borderId="4" xfId="0" quotePrefix="1" applyFill="1" applyBorder="1" applyAlignment="1">
      <alignment horizontal="left" vertical="center"/>
    </xf>
    <xf numFmtId="0" fontId="2" fillId="2" borderId="4" xfId="0" quotePrefix="1" applyFont="1" applyFill="1" applyBorder="1" applyAlignment="1">
      <alignment horizontal="left" vertical="center"/>
    </xf>
    <xf numFmtId="0" fontId="0" fillId="2" borderId="6" xfId="0" quotePrefix="1" applyFill="1" applyBorder="1" applyAlignment="1">
      <alignment horizontal="left" vertical="center"/>
    </xf>
  </cellXfs>
  <cellStyles count="4">
    <cellStyle name="20 % - Akzent5" xfId="3" builtinId="46"/>
    <cellStyle name="Akzent5" xfId="2" builtinId="45"/>
    <cellStyle name="Followed Hyperlink" xfId="1"/>
    <cellStyle name="Standard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1" readingOrder="0"/>
      <border diagonalUp="0" diagonalDown="0" outline="0">
        <left style="thin">
          <color rgb="FFB4C7F0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1" readingOrder="0"/>
      <border diagonalUp="0" diagonalDown="0" outline="0">
        <left style="thin">
          <color rgb="FFB4C7F0"/>
        </left>
        <right style="thin">
          <color rgb="FFB4C7F0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Arial"/>
        <scheme val="none"/>
      </font>
      <alignment horizontal="left" vertical="top" textRotation="0" wrapText="1" indent="0" justifyLastLine="0" shrinkToFit="1" readingOrder="0"/>
      <border diagonalUp="0" diagonalDown="0" outline="0">
        <left/>
        <right style="thin">
          <color rgb="FFB4C7F0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1" indent="0" justifyLastLine="0" shrinkToFit="1" readingOrder="0"/>
      <border diagonalUp="0" diagonalDown="0" outline="0">
        <left/>
        <right style="thin">
          <color rgb="FFB4C7F0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1" indent="0" justifyLastLine="0" shrinkToFit="1" readingOrder="0"/>
      <border diagonalUp="0" diagonalDown="0" outline="0">
        <left style="thin">
          <color rgb="FFB4C7F0"/>
        </left>
        <right/>
        <top style="thin">
          <color auto="1"/>
        </top>
        <bottom style="thin">
          <color auto="1"/>
        </bottom>
      </border>
    </dxf>
    <dxf>
      <alignment horizontal="center" vertical="top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1" indent="0" justifyLastLine="0" shrinkToFit="1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>
        <left style="thin">
          <color rgb="FF004687"/>
        </left>
        <right style="thin">
          <color rgb="FF004687"/>
        </right>
        <top style="thin">
          <color rgb="FF004687"/>
        </top>
        <bottom style="thin">
          <color rgb="FF004687"/>
        </bottom>
      </border>
    </dxf>
    <dxf>
      <font>
        <strike val="0"/>
        <outline val="0"/>
        <shadow val="0"/>
        <u val="none"/>
        <vertAlign val="baseline"/>
        <name val="Arial"/>
        <scheme val="none"/>
      </font>
      <alignment vertical="top" textRotation="0" wrapText="1" indent="0" justifyLastLine="0" shrinkToFit="1" readingOrder="0"/>
    </dxf>
    <dxf>
      <border>
        <bottom style="thin">
          <color rgb="FF00468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4687"/>
        <name val="Arial"/>
        <scheme val="none"/>
      </font>
      <fill>
        <patternFill patternType="solid">
          <fgColor indexed="64"/>
          <bgColor rgb="FFE1E8FA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4687"/>
      <color rgb="FFE1E8FA"/>
      <color rgb="FFB4C7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191110</xdr:colOff>
      <xdr:row>0</xdr:row>
      <xdr:rowOff>63500</xdr:rowOff>
    </xdr:from>
    <xdr:to>
      <xdr:col>6</xdr:col>
      <xdr:colOff>1903093</xdr:colOff>
      <xdr:row>1</xdr:row>
      <xdr:rowOff>300</xdr:rowOff>
    </xdr:to>
    <xdr:pic>
      <xdr:nvPicPr>
        <xdr:cNvPr id="3" name="Picture 1" descr="Graf_Elektronik_4c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6460" y="63500"/>
          <a:ext cx="1711983" cy="64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id="1" name="Tabelle1" displayName="Tabelle1" ref="A12:G75" totalsRowShown="0" headerRowDxfId="10" dataDxfId="8" headerRowBorderDxfId="9" tableBorderDxfId="7">
  <autoFilter ref="A12:G75"/>
  <tableColumns count="7">
    <tableColumn id="1" name="Quantity" dataDxfId="6"/>
    <tableColumn id="2" name="PG" dataDxfId="5"/>
    <tableColumn id="3" name="Designator" dataDxfId="4"/>
    <tableColumn id="12" name="Description" dataDxfId="3"/>
    <tableColumn id="4" name="ValueA" dataDxfId="2"/>
    <tableColumn id="8" name="Ident" dataDxfId="1"/>
    <tableColumn id="7" name="Notes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8"/>
  <sheetViews>
    <sheetView tabSelected="1" zoomScaleNormal="100" workbookViewId="0">
      <selection activeCell="A13" sqref="A13"/>
    </sheetView>
  </sheetViews>
  <sheetFormatPr baseColWidth="10" defaultColWidth="9.1796875" defaultRowHeight="12.5" x14ac:dyDescent="0.25"/>
  <cols>
    <col min="1" max="1" width="8.54296875" style="1" customWidth="1"/>
    <col min="2" max="2" width="7.08984375" style="1" customWidth="1"/>
    <col min="3" max="3" width="32.08984375" style="3" customWidth="1"/>
    <col min="4" max="4" width="52" style="3" customWidth="1"/>
    <col min="5" max="5" width="19.26953125" style="1" customWidth="1"/>
    <col min="6" max="6" width="21.08984375" style="1" customWidth="1"/>
    <col min="7" max="7" width="30.81640625" style="1" customWidth="1"/>
    <col min="8" max="8" width="22.453125" style="1" bestFit="1" customWidth="1"/>
    <col min="9" max="9" width="19.7265625" style="1" bestFit="1" customWidth="1"/>
    <col min="10" max="16384" width="9.1796875" style="1"/>
  </cols>
  <sheetData>
    <row r="1" spans="1:7" ht="56.25" customHeight="1" x14ac:dyDescent="0.3">
      <c r="A1" s="41" t="s">
        <v>17</v>
      </c>
      <c r="B1" s="42"/>
      <c r="C1" s="38"/>
      <c r="D1" s="38"/>
      <c r="E1" s="43"/>
      <c r="F1" s="43"/>
      <c r="G1" s="44"/>
    </row>
    <row r="2" spans="1:7" ht="23.25" customHeight="1" x14ac:dyDescent="0.3">
      <c r="A2" s="45" t="s">
        <v>16</v>
      </c>
      <c r="B2" s="46"/>
      <c r="C2" s="65" t="s">
        <v>23</v>
      </c>
      <c r="D2" s="47"/>
      <c r="E2" s="48"/>
      <c r="F2" s="49"/>
      <c r="G2" s="50"/>
    </row>
    <row r="3" spans="1:7" ht="17.25" customHeight="1" x14ac:dyDescent="0.3">
      <c r="A3" s="36" t="s">
        <v>19</v>
      </c>
      <c r="B3" s="37"/>
      <c r="C3" s="66" t="s">
        <v>24</v>
      </c>
      <c r="D3" s="14"/>
      <c r="F3" s="14"/>
      <c r="G3" s="20"/>
    </row>
    <row r="4" spans="1:7" ht="17.25" customHeight="1" x14ac:dyDescent="0.3">
      <c r="A4" s="36" t="s">
        <v>20</v>
      </c>
      <c r="B4" s="37"/>
      <c r="C4" s="66" t="s">
        <v>24</v>
      </c>
      <c r="D4" s="14"/>
      <c r="F4" s="14"/>
      <c r="G4" s="20"/>
    </row>
    <row r="5" spans="1:7" ht="17.25" customHeight="1" x14ac:dyDescent="0.3">
      <c r="A5" s="36" t="s">
        <v>14</v>
      </c>
      <c r="B5" s="37"/>
      <c r="C5" s="66" t="s">
        <v>25</v>
      </c>
      <c r="D5" s="14"/>
      <c r="F5" s="14"/>
      <c r="G5" s="20"/>
    </row>
    <row r="6" spans="1:7" ht="17.25" customHeight="1" x14ac:dyDescent="0.3">
      <c r="A6" s="36" t="s">
        <v>15</v>
      </c>
      <c r="B6" s="37"/>
      <c r="C6" s="66" t="s">
        <v>26</v>
      </c>
      <c r="D6" s="14"/>
      <c r="F6" s="14"/>
      <c r="G6" s="20"/>
    </row>
    <row r="7" spans="1:7" ht="17.25" customHeight="1" x14ac:dyDescent="0.3">
      <c r="A7" s="36" t="s">
        <v>18</v>
      </c>
      <c r="B7" s="37"/>
      <c r="C7" s="66" t="s">
        <v>27</v>
      </c>
      <c r="D7" s="14"/>
      <c r="F7" s="14"/>
      <c r="G7" s="20"/>
    </row>
    <row r="8" spans="1:7" ht="13" x14ac:dyDescent="0.3">
      <c r="A8" s="36"/>
      <c r="B8" s="10"/>
      <c r="C8" s="13"/>
      <c r="D8" s="14"/>
      <c r="F8" s="10"/>
      <c r="G8" s="34"/>
    </row>
    <row r="9" spans="1:7" ht="15.75" customHeight="1" x14ac:dyDescent="0.3">
      <c r="A9" s="36" t="s">
        <v>22</v>
      </c>
      <c r="B9" s="37"/>
      <c r="C9" s="67" t="s">
        <v>28</v>
      </c>
      <c r="D9" s="13"/>
      <c r="F9" s="2"/>
      <c r="G9" s="20"/>
    </row>
    <row r="10" spans="1:7" ht="15.75" customHeight="1" x14ac:dyDescent="0.3">
      <c r="A10" s="36" t="s">
        <v>21</v>
      </c>
      <c r="B10" s="37"/>
      <c r="C10" s="39" t="str">
        <f ca="1">TEXT(TODAY(),"TT.MM.JJJJ") &amp; " " &amp; TEXT(NOW(),"HH:MM:SS")</f>
        <v>28.10.2024 13:31:12</v>
      </c>
      <c r="D10" s="40"/>
      <c r="F10" s="2"/>
      <c r="G10" s="20"/>
    </row>
    <row r="11" spans="1:7" ht="15.75" customHeight="1" x14ac:dyDescent="0.25">
      <c r="A11" s="21"/>
      <c r="B11" s="14"/>
      <c r="C11" s="13"/>
      <c r="D11" s="13"/>
      <c r="E11" s="14"/>
      <c r="F11" s="14"/>
      <c r="G11" s="20"/>
    </row>
    <row r="12" spans="1:7" s="12" customFormat="1" ht="19.5" customHeight="1" x14ac:dyDescent="0.25">
      <c r="A12" s="55" t="s">
        <v>29</v>
      </c>
      <c r="B12" s="54" t="s">
        <v>30</v>
      </c>
      <c r="C12" s="32" t="s">
        <v>34</v>
      </c>
      <c r="D12" s="32" t="s">
        <v>97</v>
      </c>
      <c r="E12" s="32" t="s">
        <v>158</v>
      </c>
      <c r="F12" s="32" t="s">
        <v>211</v>
      </c>
      <c r="G12" s="56" t="s">
        <v>272</v>
      </c>
    </row>
    <row r="13" spans="1:7" s="11" customFormat="1" ht="25" x14ac:dyDescent="0.25">
      <c r="A13" s="30">
        <v>1</v>
      </c>
      <c r="B13" s="51" t="s">
        <v>31</v>
      </c>
      <c r="C13" s="31" t="s">
        <v>35</v>
      </c>
      <c r="D13" s="31" t="s">
        <v>98</v>
      </c>
      <c r="E13" s="57"/>
      <c r="F13" s="61" t="s">
        <v>212</v>
      </c>
      <c r="G13" s="62"/>
    </row>
    <row r="14" spans="1:7" s="11" customFormat="1" ht="50" x14ac:dyDescent="0.25">
      <c r="A14" s="18">
        <v>17</v>
      </c>
      <c r="B14" s="52" t="s">
        <v>32</v>
      </c>
      <c r="C14" s="19" t="s">
        <v>36</v>
      </c>
      <c r="D14" s="19" t="s">
        <v>99</v>
      </c>
      <c r="E14" s="58" t="s">
        <v>159</v>
      </c>
      <c r="F14" s="59" t="s">
        <v>213</v>
      </c>
      <c r="G14" s="63"/>
    </row>
    <row r="15" spans="1:7" s="11" customFormat="1" ht="37.5" x14ac:dyDescent="0.25">
      <c r="A15" s="30">
        <v>11</v>
      </c>
      <c r="B15" s="51" t="s">
        <v>32</v>
      </c>
      <c r="C15" s="31" t="s">
        <v>37</v>
      </c>
      <c r="D15" s="31" t="s">
        <v>100</v>
      </c>
      <c r="E15" s="57" t="s">
        <v>160</v>
      </c>
      <c r="F15" s="61" t="s">
        <v>214</v>
      </c>
      <c r="G15" s="62"/>
    </row>
    <row r="16" spans="1:7" s="11" customFormat="1" x14ac:dyDescent="0.25">
      <c r="A16" s="18">
        <v>1</v>
      </c>
      <c r="B16" s="52" t="s">
        <v>32</v>
      </c>
      <c r="C16" s="19" t="s">
        <v>38</v>
      </c>
      <c r="D16" s="19" t="s">
        <v>101</v>
      </c>
      <c r="E16" s="58" t="s">
        <v>161</v>
      </c>
      <c r="F16" s="59" t="s">
        <v>215</v>
      </c>
      <c r="G16" s="63"/>
    </row>
    <row r="17" spans="1:7" s="11" customFormat="1" ht="50" x14ac:dyDescent="0.25">
      <c r="A17" s="30">
        <v>18</v>
      </c>
      <c r="B17" s="51" t="s">
        <v>32</v>
      </c>
      <c r="C17" s="31" t="s">
        <v>39</v>
      </c>
      <c r="D17" s="31" t="s">
        <v>102</v>
      </c>
      <c r="E17" s="57" t="s">
        <v>159</v>
      </c>
      <c r="F17" s="61" t="s">
        <v>216</v>
      </c>
      <c r="G17" s="62"/>
    </row>
    <row r="18" spans="1:7" s="11" customFormat="1" ht="37.5" x14ac:dyDescent="0.25">
      <c r="A18" s="18">
        <v>1</v>
      </c>
      <c r="B18" s="52" t="s">
        <v>32</v>
      </c>
      <c r="C18" s="19" t="s">
        <v>40</v>
      </c>
      <c r="D18" s="19" t="s">
        <v>103</v>
      </c>
      <c r="E18" s="58" t="s">
        <v>162</v>
      </c>
      <c r="F18" s="59" t="s">
        <v>217</v>
      </c>
      <c r="G18" s="63"/>
    </row>
    <row r="19" spans="1:7" s="11" customFormat="1" ht="25" x14ac:dyDescent="0.25">
      <c r="A19" s="30">
        <v>2</v>
      </c>
      <c r="B19" s="51" t="s">
        <v>32</v>
      </c>
      <c r="C19" s="31" t="s">
        <v>41</v>
      </c>
      <c r="D19" s="31" t="s">
        <v>104</v>
      </c>
      <c r="E19" s="57" t="s">
        <v>163</v>
      </c>
      <c r="F19" s="61" t="s">
        <v>218</v>
      </c>
      <c r="G19" s="62"/>
    </row>
    <row r="20" spans="1:7" s="11" customFormat="1" ht="50" x14ac:dyDescent="0.25">
      <c r="A20" s="18">
        <v>3</v>
      </c>
      <c r="B20" s="52" t="s">
        <v>32</v>
      </c>
      <c r="C20" s="19" t="s">
        <v>42</v>
      </c>
      <c r="D20" s="19" t="s">
        <v>105</v>
      </c>
      <c r="E20" s="58" t="s">
        <v>162</v>
      </c>
      <c r="F20" s="59" t="s">
        <v>219</v>
      </c>
      <c r="G20" s="63"/>
    </row>
    <row r="21" spans="1:7" s="11" customFormat="1" ht="50" x14ac:dyDescent="0.25">
      <c r="A21" s="30">
        <v>4</v>
      </c>
      <c r="B21" s="51" t="s">
        <v>32</v>
      </c>
      <c r="C21" s="31" t="s">
        <v>43</v>
      </c>
      <c r="D21" s="31" t="s">
        <v>106</v>
      </c>
      <c r="E21" s="57" t="s">
        <v>164</v>
      </c>
      <c r="F21" s="61" t="s">
        <v>220</v>
      </c>
      <c r="G21" s="62"/>
    </row>
    <row r="22" spans="1:7" s="11" customFormat="1" ht="37.5" x14ac:dyDescent="0.25">
      <c r="A22" s="18">
        <v>4</v>
      </c>
      <c r="B22" s="52" t="s">
        <v>32</v>
      </c>
      <c r="C22" s="19" t="s">
        <v>44</v>
      </c>
      <c r="D22" s="19" t="s">
        <v>107</v>
      </c>
      <c r="E22" s="58" t="s">
        <v>165</v>
      </c>
      <c r="F22" s="59" t="s">
        <v>221</v>
      </c>
      <c r="G22" s="63"/>
    </row>
    <row r="23" spans="1:7" s="11" customFormat="1" ht="37.5" x14ac:dyDescent="0.25">
      <c r="A23" s="30">
        <v>2</v>
      </c>
      <c r="B23" s="51" t="s">
        <v>32</v>
      </c>
      <c r="C23" s="31" t="s">
        <v>45</v>
      </c>
      <c r="D23" s="31" t="s">
        <v>108</v>
      </c>
      <c r="E23" s="57" t="s">
        <v>166</v>
      </c>
      <c r="F23" s="61" t="s">
        <v>222</v>
      </c>
      <c r="G23" s="62"/>
    </row>
    <row r="24" spans="1:7" s="11" customFormat="1" ht="25" x14ac:dyDescent="0.25">
      <c r="A24" s="18">
        <v>2</v>
      </c>
      <c r="B24" s="52" t="s">
        <v>32</v>
      </c>
      <c r="C24" s="19" t="s">
        <v>46</v>
      </c>
      <c r="D24" s="19" t="s">
        <v>109</v>
      </c>
      <c r="E24" s="58" t="s">
        <v>167</v>
      </c>
      <c r="F24" s="59" t="s">
        <v>223</v>
      </c>
      <c r="G24" s="63"/>
    </row>
    <row r="25" spans="1:7" s="11" customFormat="1" ht="25" x14ac:dyDescent="0.25">
      <c r="A25" s="30">
        <v>1</v>
      </c>
      <c r="B25" s="51" t="s">
        <v>32</v>
      </c>
      <c r="C25" s="31" t="s">
        <v>47</v>
      </c>
      <c r="D25" s="31" t="s">
        <v>110</v>
      </c>
      <c r="E25" s="57" t="s">
        <v>164</v>
      </c>
      <c r="F25" s="61" t="s">
        <v>224</v>
      </c>
      <c r="G25" s="62"/>
    </row>
    <row r="26" spans="1:7" s="11" customFormat="1" ht="25" x14ac:dyDescent="0.25">
      <c r="A26" s="18">
        <v>2</v>
      </c>
      <c r="B26" s="52" t="s">
        <v>32</v>
      </c>
      <c r="C26" s="19" t="s">
        <v>48</v>
      </c>
      <c r="D26" s="19" t="s">
        <v>111</v>
      </c>
      <c r="E26" s="58" t="s">
        <v>168</v>
      </c>
      <c r="F26" s="59" t="s">
        <v>225</v>
      </c>
      <c r="G26" s="63"/>
    </row>
    <row r="27" spans="1:7" s="11" customFormat="1" ht="25" x14ac:dyDescent="0.25">
      <c r="A27" s="30">
        <v>1</v>
      </c>
      <c r="B27" s="51" t="s">
        <v>32</v>
      </c>
      <c r="C27" s="31" t="s">
        <v>49</v>
      </c>
      <c r="D27" s="31" t="s">
        <v>112</v>
      </c>
      <c r="E27" s="57" t="s">
        <v>169</v>
      </c>
      <c r="F27" s="61" t="s">
        <v>226</v>
      </c>
      <c r="G27" s="62"/>
    </row>
    <row r="28" spans="1:7" s="11" customFormat="1" ht="25" x14ac:dyDescent="0.25">
      <c r="A28" s="18">
        <v>1</v>
      </c>
      <c r="B28" s="52" t="s">
        <v>32</v>
      </c>
      <c r="C28" s="19" t="s">
        <v>50</v>
      </c>
      <c r="D28" s="19" t="s">
        <v>113</v>
      </c>
      <c r="E28" s="58" t="s">
        <v>170</v>
      </c>
      <c r="F28" s="59" t="s">
        <v>227</v>
      </c>
      <c r="G28" s="63"/>
    </row>
    <row r="29" spans="1:7" s="11" customFormat="1" ht="25" x14ac:dyDescent="0.25">
      <c r="A29" s="30">
        <v>1</v>
      </c>
      <c r="B29" s="51" t="s">
        <v>32</v>
      </c>
      <c r="C29" s="31" t="s">
        <v>51</v>
      </c>
      <c r="D29" s="31" t="s">
        <v>114</v>
      </c>
      <c r="E29" s="57" t="s">
        <v>171</v>
      </c>
      <c r="F29" s="61" t="s">
        <v>228</v>
      </c>
      <c r="G29" s="62"/>
    </row>
    <row r="30" spans="1:7" s="11" customFormat="1" ht="37.5" x14ac:dyDescent="0.25">
      <c r="A30" s="18">
        <v>1</v>
      </c>
      <c r="B30" s="52" t="s">
        <v>32</v>
      </c>
      <c r="C30" s="19" t="s">
        <v>52</v>
      </c>
      <c r="D30" s="19" t="s">
        <v>115</v>
      </c>
      <c r="E30" s="58" t="s">
        <v>172</v>
      </c>
      <c r="F30" s="59" t="s">
        <v>229</v>
      </c>
      <c r="G30" s="63"/>
    </row>
    <row r="31" spans="1:7" s="11" customFormat="1" ht="37.5" x14ac:dyDescent="0.25">
      <c r="A31" s="30">
        <v>1</v>
      </c>
      <c r="B31" s="51" t="s">
        <v>32</v>
      </c>
      <c r="C31" s="31" t="s">
        <v>53</v>
      </c>
      <c r="D31" s="31" t="s">
        <v>116</v>
      </c>
      <c r="E31" s="57" t="s">
        <v>173</v>
      </c>
      <c r="F31" s="61" t="s">
        <v>230</v>
      </c>
      <c r="G31" s="62"/>
    </row>
    <row r="32" spans="1:7" s="11" customFormat="1" ht="25" x14ac:dyDescent="0.25">
      <c r="A32" s="18">
        <v>2</v>
      </c>
      <c r="B32" s="52" t="s">
        <v>32</v>
      </c>
      <c r="C32" s="19" t="s">
        <v>54</v>
      </c>
      <c r="D32" s="19" t="s">
        <v>117</v>
      </c>
      <c r="E32" s="58" t="s">
        <v>174</v>
      </c>
      <c r="F32" s="59" t="s">
        <v>231</v>
      </c>
      <c r="G32" s="63"/>
    </row>
    <row r="33" spans="1:7" s="11" customFormat="1" ht="25" x14ac:dyDescent="0.25">
      <c r="A33" s="30">
        <v>1</v>
      </c>
      <c r="B33" s="51" t="s">
        <v>32</v>
      </c>
      <c r="C33" s="31" t="s">
        <v>55</v>
      </c>
      <c r="D33" s="31" t="s">
        <v>118</v>
      </c>
      <c r="E33" s="57" t="s">
        <v>175</v>
      </c>
      <c r="F33" s="61" t="s">
        <v>232</v>
      </c>
      <c r="G33" s="62"/>
    </row>
    <row r="34" spans="1:7" s="11" customFormat="1" ht="25" x14ac:dyDescent="0.25">
      <c r="A34" s="18">
        <v>2</v>
      </c>
      <c r="B34" s="52" t="s">
        <v>32</v>
      </c>
      <c r="C34" s="19" t="s">
        <v>56</v>
      </c>
      <c r="D34" s="19" t="s">
        <v>119</v>
      </c>
      <c r="E34" s="58" t="s">
        <v>176</v>
      </c>
      <c r="F34" s="59" t="s">
        <v>233</v>
      </c>
      <c r="G34" s="63"/>
    </row>
    <row r="35" spans="1:7" s="11" customFormat="1" ht="37.5" x14ac:dyDescent="0.25">
      <c r="A35" s="30">
        <v>3</v>
      </c>
      <c r="B35" s="51" t="s">
        <v>32</v>
      </c>
      <c r="C35" s="31" t="s">
        <v>57</v>
      </c>
      <c r="D35" s="31" t="s">
        <v>120</v>
      </c>
      <c r="E35" s="57" t="s">
        <v>177</v>
      </c>
      <c r="F35" s="61" t="s">
        <v>234</v>
      </c>
      <c r="G35" s="62"/>
    </row>
    <row r="36" spans="1:7" s="11" customFormat="1" ht="25" x14ac:dyDescent="0.25">
      <c r="A36" s="18">
        <v>2</v>
      </c>
      <c r="B36" s="52" t="s">
        <v>32</v>
      </c>
      <c r="C36" s="19" t="s">
        <v>58</v>
      </c>
      <c r="D36" s="19" t="s">
        <v>121</v>
      </c>
      <c r="E36" s="58" t="s">
        <v>178</v>
      </c>
      <c r="F36" s="59" t="s">
        <v>235</v>
      </c>
      <c r="G36" s="63"/>
    </row>
    <row r="37" spans="1:7" s="11" customFormat="1" x14ac:dyDescent="0.25">
      <c r="A37" s="30">
        <v>1</v>
      </c>
      <c r="B37" s="51" t="s">
        <v>32</v>
      </c>
      <c r="C37" s="31" t="s">
        <v>59</v>
      </c>
      <c r="D37" s="31" t="s">
        <v>122</v>
      </c>
      <c r="E37" s="57" t="s">
        <v>179</v>
      </c>
      <c r="F37" s="61" t="s">
        <v>236</v>
      </c>
      <c r="G37" s="62"/>
    </row>
    <row r="38" spans="1:7" s="11" customFormat="1" ht="25" x14ac:dyDescent="0.25">
      <c r="A38" s="18">
        <v>1</v>
      </c>
      <c r="B38" s="52" t="s">
        <v>32</v>
      </c>
      <c r="C38" s="19" t="s">
        <v>60</v>
      </c>
      <c r="D38" s="19" t="s">
        <v>123</v>
      </c>
      <c r="E38" s="58" t="s">
        <v>180</v>
      </c>
      <c r="F38" s="59" t="s">
        <v>237</v>
      </c>
      <c r="G38" s="63"/>
    </row>
    <row r="39" spans="1:7" s="11" customFormat="1" ht="37.5" x14ac:dyDescent="0.25">
      <c r="A39" s="30">
        <v>3</v>
      </c>
      <c r="B39" s="51" t="s">
        <v>32</v>
      </c>
      <c r="C39" s="31" t="s">
        <v>61</v>
      </c>
      <c r="D39" s="31" t="s">
        <v>124</v>
      </c>
      <c r="E39" s="57" t="s">
        <v>181</v>
      </c>
      <c r="F39" s="61" t="s">
        <v>238</v>
      </c>
      <c r="G39" s="62"/>
    </row>
    <row r="40" spans="1:7" s="11" customFormat="1" ht="37.5" x14ac:dyDescent="0.25">
      <c r="A40" s="18">
        <v>1</v>
      </c>
      <c r="B40" s="52" t="s">
        <v>32</v>
      </c>
      <c r="C40" s="19" t="s">
        <v>62</v>
      </c>
      <c r="D40" s="19" t="s">
        <v>125</v>
      </c>
      <c r="E40" s="58" t="s">
        <v>182</v>
      </c>
      <c r="F40" s="59" t="s">
        <v>239</v>
      </c>
      <c r="G40" s="63"/>
    </row>
    <row r="41" spans="1:7" s="11" customFormat="1" ht="87.5" x14ac:dyDescent="0.25">
      <c r="A41" s="30">
        <v>31</v>
      </c>
      <c r="B41" s="51" t="s">
        <v>32</v>
      </c>
      <c r="C41" s="31" t="s">
        <v>63</v>
      </c>
      <c r="D41" s="31" t="s">
        <v>126</v>
      </c>
      <c r="E41" s="57" t="s">
        <v>183</v>
      </c>
      <c r="F41" s="61" t="s">
        <v>240</v>
      </c>
      <c r="G41" s="62"/>
    </row>
    <row r="42" spans="1:7" s="11" customFormat="1" ht="37.5" x14ac:dyDescent="0.25">
      <c r="A42" s="18">
        <v>14</v>
      </c>
      <c r="B42" s="52" t="s">
        <v>32</v>
      </c>
      <c r="C42" s="19" t="s">
        <v>64</v>
      </c>
      <c r="D42" s="19" t="s">
        <v>127</v>
      </c>
      <c r="E42" s="58" t="s">
        <v>184</v>
      </c>
      <c r="F42" s="59" t="s">
        <v>241</v>
      </c>
      <c r="G42" s="63"/>
    </row>
    <row r="43" spans="1:7" s="11" customFormat="1" x14ac:dyDescent="0.25">
      <c r="A43" s="30">
        <v>2</v>
      </c>
      <c r="B43" s="51" t="s">
        <v>32</v>
      </c>
      <c r="C43" s="31" t="s">
        <v>65</v>
      </c>
      <c r="D43" s="31" t="s">
        <v>128</v>
      </c>
      <c r="E43" s="57" t="s">
        <v>185</v>
      </c>
      <c r="F43" s="61" t="s">
        <v>242</v>
      </c>
      <c r="G43" s="62"/>
    </row>
    <row r="44" spans="1:7" s="11" customFormat="1" ht="37.5" x14ac:dyDescent="0.25">
      <c r="A44" s="18">
        <v>3</v>
      </c>
      <c r="B44" s="52" t="s">
        <v>32</v>
      </c>
      <c r="C44" s="19" t="s">
        <v>66</v>
      </c>
      <c r="D44" s="19" t="s">
        <v>129</v>
      </c>
      <c r="E44" s="58" t="s">
        <v>186</v>
      </c>
      <c r="F44" s="59" t="s">
        <v>243</v>
      </c>
      <c r="G44" s="63"/>
    </row>
    <row r="45" spans="1:7" s="11" customFormat="1" ht="25" x14ac:dyDescent="0.25">
      <c r="A45" s="30">
        <v>4</v>
      </c>
      <c r="B45" s="51" t="s">
        <v>32</v>
      </c>
      <c r="C45" s="31" t="s">
        <v>67</v>
      </c>
      <c r="D45" s="31" t="s">
        <v>130</v>
      </c>
      <c r="E45" s="57" t="s">
        <v>187</v>
      </c>
      <c r="F45" s="61" t="s">
        <v>244</v>
      </c>
      <c r="G45" s="62"/>
    </row>
    <row r="46" spans="1:7" s="11" customFormat="1" ht="37.5" x14ac:dyDescent="0.25">
      <c r="A46" s="18">
        <v>1</v>
      </c>
      <c r="B46" s="52" t="s">
        <v>32</v>
      </c>
      <c r="C46" s="19" t="s">
        <v>68</v>
      </c>
      <c r="D46" s="19" t="s">
        <v>131</v>
      </c>
      <c r="E46" s="58" t="s">
        <v>188</v>
      </c>
      <c r="F46" s="59" t="s">
        <v>245</v>
      </c>
      <c r="G46" s="63"/>
    </row>
    <row r="47" spans="1:7" s="11" customFormat="1" ht="37.5" x14ac:dyDescent="0.25">
      <c r="A47" s="30">
        <v>2</v>
      </c>
      <c r="B47" s="51" t="s">
        <v>32</v>
      </c>
      <c r="C47" s="31" t="s">
        <v>69</v>
      </c>
      <c r="D47" s="31" t="s">
        <v>132</v>
      </c>
      <c r="E47" s="57" t="s">
        <v>189</v>
      </c>
      <c r="F47" s="61" t="s">
        <v>246</v>
      </c>
      <c r="G47" s="62"/>
    </row>
    <row r="48" spans="1:7" s="11" customFormat="1" x14ac:dyDescent="0.25">
      <c r="A48" s="18">
        <v>2</v>
      </c>
      <c r="B48" s="52" t="s">
        <v>32</v>
      </c>
      <c r="C48" s="19" t="s">
        <v>70</v>
      </c>
      <c r="D48" s="19" t="s">
        <v>133</v>
      </c>
      <c r="E48" s="58" t="s">
        <v>190</v>
      </c>
      <c r="F48" s="59" t="s">
        <v>247</v>
      </c>
      <c r="G48" s="63"/>
    </row>
    <row r="49" spans="1:7" s="11" customFormat="1" ht="37.5" x14ac:dyDescent="0.25">
      <c r="A49" s="30">
        <v>2</v>
      </c>
      <c r="B49" s="51" t="s">
        <v>32</v>
      </c>
      <c r="C49" s="31" t="s">
        <v>71</v>
      </c>
      <c r="D49" s="31" t="s">
        <v>134</v>
      </c>
      <c r="E49" s="57" t="s">
        <v>191</v>
      </c>
      <c r="F49" s="61" t="s">
        <v>248</v>
      </c>
      <c r="G49" s="62"/>
    </row>
    <row r="50" spans="1:7" s="11" customFormat="1" ht="37.5" x14ac:dyDescent="0.25">
      <c r="A50" s="18">
        <v>1</v>
      </c>
      <c r="B50" s="52" t="s">
        <v>32</v>
      </c>
      <c r="C50" s="19" t="s">
        <v>72</v>
      </c>
      <c r="D50" s="19" t="s">
        <v>135</v>
      </c>
      <c r="E50" s="58" t="s">
        <v>192</v>
      </c>
      <c r="F50" s="59" t="s">
        <v>249</v>
      </c>
      <c r="G50" s="63"/>
    </row>
    <row r="51" spans="1:7" s="11" customFormat="1" x14ac:dyDescent="0.25">
      <c r="A51" s="30">
        <v>1</v>
      </c>
      <c r="B51" s="51" t="s">
        <v>32</v>
      </c>
      <c r="C51" s="31" t="s">
        <v>73</v>
      </c>
      <c r="D51" s="31" t="s">
        <v>136</v>
      </c>
      <c r="E51" s="57" t="s">
        <v>193</v>
      </c>
      <c r="F51" s="61" t="s">
        <v>250</v>
      </c>
      <c r="G51" s="62"/>
    </row>
    <row r="52" spans="1:7" s="11" customFormat="1" ht="37.5" x14ac:dyDescent="0.25">
      <c r="A52" s="18">
        <v>8</v>
      </c>
      <c r="B52" s="52" t="s">
        <v>32</v>
      </c>
      <c r="C52" s="19" t="s">
        <v>74</v>
      </c>
      <c r="D52" s="19" t="s">
        <v>137</v>
      </c>
      <c r="E52" s="58" t="s">
        <v>194</v>
      </c>
      <c r="F52" s="59" t="s">
        <v>251</v>
      </c>
      <c r="G52" s="63"/>
    </row>
    <row r="53" spans="1:7" s="11" customFormat="1" x14ac:dyDescent="0.25">
      <c r="A53" s="30">
        <v>1</v>
      </c>
      <c r="B53" s="51" t="s">
        <v>32</v>
      </c>
      <c r="C53" s="31" t="s">
        <v>75</v>
      </c>
      <c r="D53" s="31" t="s">
        <v>138</v>
      </c>
      <c r="E53" s="57" t="s">
        <v>195</v>
      </c>
      <c r="F53" s="61" t="s">
        <v>252</v>
      </c>
      <c r="G53" s="62"/>
    </row>
    <row r="54" spans="1:7" s="11" customFormat="1" ht="37.5" x14ac:dyDescent="0.25">
      <c r="A54" s="18">
        <v>2</v>
      </c>
      <c r="B54" s="52" t="s">
        <v>32</v>
      </c>
      <c r="C54" s="19" t="s">
        <v>76</v>
      </c>
      <c r="D54" s="19" t="s">
        <v>139</v>
      </c>
      <c r="E54" s="58" t="s">
        <v>196</v>
      </c>
      <c r="F54" s="59" t="s">
        <v>253</v>
      </c>
      <c r="G54" s="63"/>
    </row>
    <row r="55" spans="1:7" s="11" customFormat="1" ht="37.5" x14ac:dyDescent="0.25">
      <c r="A55" s="30">
        <v>2</v>
      </c>
      <c r="B55" s="51" t="s">
        <v>32</v>
      </c>
      <c r="C55" s="31" t="s">
        <v>77</v>
      </c>
      <c r="D55" s="31" t="s">
        <v>140</v>
      </c>
      <c r="E55" s="57" t="s">
        <v>197</v>
      </c>
      <c r="F55" s="61" t="s">
        <v>254</v>
      </c>
      <c r="G55" s="62"/>
    </row>
    <row r="56" spans="1:7" s="11" customFormat="1" ht="37.5" x14ac:dyDescent="0.25">
      <c r="A56" s="18">
        <v>1</v>
      </c>
      <c r="B56" s="52" t="s">
        <v>32</v>
      </c>
      <c r="C56" s="19" t="s">
        <v>78</v>
      </c>
      <c r="D56" s="19" t="s">
        <v>141</v>
      </c>
      <c r="E56" s="58" t="s">
        <v>184</v>
      </c>
      <c r="F56" s="59" t="s">
        <v>255</v>
      </c>
      <c r="G56" s="63"/>
    </row>
    <row r="57" spans="1:7" s="11" customFormat="1" ht="25" x14ac:dyDescent="0.25">
      <c r="A57" s="30">
        <v>2</v>
      </c>
      <c r="B57" s="51" t="s">
        <v>32</v>
      </c>
      <c r="C57" s="31" t="s">
        <v>79</v>
      </c>
      <c r="D57" s="31" t="s">
        <v>142</v>
      </c>
      <c r="E57" s="57" t="s">
        <v>194</v>
      </c>
      <c r="F57" s="61" t="s">
        <v>256</v>
      </c>
      <c r="G57" s="62"/>
    </row>
    <row r="58" spans="1:7" s="11" customFormat="1" ht="50" x14ac:dyDescent="0.25">
      <c r="A58" s="18">
        <v>2</v>
      </c>
      <c r="B58" s="52" t="s">
        <v>32</v>
      </c>
      <c r="C58" s="19" t="s">
        <v>80</v>
      </c>
      <c r="D58" s="19" t="s">
        <v>143</v>
      </c>
      <c r="E58" s="58" t="s">
        <v>198</v>
      </c>
      <c r="F58" s="59" t="s">
        <v>257</v>
      </c>
      <c r="G58" s="63"/>
    </row>
    <row r="59" spans="1:7" s="11" customFormat="1" ht="25" x14ac:dyDescent="0.25">
      <c r="A59" s="30">
        <v>1</v>
      </c>
      <c r="B59" s="51" t="s">
        <v>32</v>
      </c>
      <c r="C59" s="31" t="s">
        <v>81</v>
      </c>
      <c r="D59" s="31" t="s">
        <v>144</v>
      </c>
      <c r="E59" s="57" t="s">
        <v>199</v>
      </c>
      <c r="F59" s="61" t="s">
        <v>258</v>
      </c>
      <c r="G59" s="62"/>
    </row>
    <row r="60" spans="1:7" s="11" customFormat="1" ht="37.5" x14ac:dyDescent="0.25">
      <c r="A60" s="18">
        <v>3</v>
      </c>
      <c r="B60" s="52" t="s">
        <v>32</v>
      </c>
      <c r="C60" s="19" t="s">
        <v>82</v>
      </c>
      <c r="D60" s="19" t="s">
        <v>145</v>
      </c>
      <c r="E60" s="58" t="s">
        <v>200</v>
      </c>
      <c r="F60" s="59" t="s">
        <v>259</v>
      </c>
      <c r="G60" s="63"/>
    </row>
    <row r="61" spans="1:7" s="11" customFormat="1" ht="37.5" x14ac:dyDescent="0.25">
      <c r="A61" s="30">
        <v>3</v>
      </c>
      <c r="B61" s="51" t="s">
        <v>32</v>
      </c>
      <c r="C61" s="31" t="s">
        <v>83</v>
      </c>
      <c r="D61" s="31" t="s">
        <v>146</v>
      </c>
      <c r="E61" s="57" t="s">
        <v>201</v>
      </c>
      <c r="F61" s="61" t="s">
        <v>260</v>
      </c>
      <c r="G61" s="62"/>
    </row>
    <row r="62" spans="1:7" s="11" customFormat="1" ht="25" x14ac:dyDescent="0.25">
      <c r="A62" s="18">
        <v>3</v>
      </c>
      <c r="B62" s="52" t="s">
        <v>32</v>
      </c>
      <c r="C62" s="19" t="s">
        <v>84</v>
      </c>
      <c r="D62" s="19" t="s">
        <v>147</v>
      </c>
      <c r="E62" s="58" t="s">
        <v>202</v>
      </c>
      <c r="F62" s="59" t="s">
        <v>261</v>
      </c>
      <c r="G62" s="63"/>
    </row>
    <row r="63" spans="1:7" s="11" customFormat="1" ht="25" x14ac:dyDescent="0.25">
      <c r="A63" s="30">
        <v>3</v>
      </c>
      <c r="B63" s="51" t="s">
        <v>32</v>
      </c>
      <c r="C63" s="31" t="s">
        <v>85</v>
      </c>
      <c r="D63" s="31" t="s">
        <v>148</v>
      </c>
      <c r="E63" s="57" t="s">
        <v>203</v>
      </c>
      <c r="F63" s="61" t="s">
        <v>262</v>
      </c>
      <c r="G63" s="62"/>
    </row>
    <row r="64" spans="1:7" s="11" customFormat="1" ht="25" x14ac:dyDescent="0.25">
      <c r="A64" s="18">
        <v>1</v>
      </c>
      <c r="B64" s="52" t="s">
        <v>32</v>
      </c>
      <c r="C64" s="19" t="s">
        <v>86</v>
      </c>
      <c r="D64" s="19" t="s">
        <v>149</v>
      </c>
      <c r="E64" s="58" t="s">
        <v>204</v>
      </c>
      <c r="F64" s="59" t="s">
        <v>263</v>
      </c>
      <c r="G64" s="63"/>
    </row>
    <row r="65" spans="1:7" s="11" customFormat="1" ht="25" x14ac:dyDescent="0.25">
      <c r="A65" s="30">
        <v>1</v>
      </c>
      <c r="B65" s="51" t="s">
        <v>32</v>
      </c>
      <c r="C65" s="31" t="s">
        <v>87</v>
      </c>
      <c r="D65" s="31" t="s">
        <v>150</v>
      </c>
      <c r="E65" s="57" t="s">
        <v>205</v>
      </c>
      <c r="F65" s="61" t="s">
        <v>264</v>
      </c>
      <c r="G65" s="62"/>
    </row>
    <row r="66" spans="1:7" s="11" customFormat="1" ht="25" x14ac:dyDescent="0.25">
      <c r="A66" s="18">
        <v>1</v>
      </c>
      <c r="B66" s="52" t="s">
        <v>32</v>
      </c>
      <c r="C66" s="19" t="s">
        <v>88</v>
      </c>
      <c r="D66" s="19" t="s">
        <v>151</v>
      </c>
      <c r="E66" s="58" t="s">
        <v>206</v>
      </c>
      <c r="F66" s="59" t="s">
        <v>265</v>
      </c>
      <c r="G66" s="63"/>
    </row>
    <row r="67" spans="1:7" s="11" customFormat="1" ht="25" x14ac:dyDescent="0.25">
      <c r="A67" s="30">
        <v>1</v>
      </c>
      <c r="B67" s="51" t="s">
        <v>33</v>
      </c>
      <c r="C67" s="31" t="s">
        <v>89</v>
      </c>
      <c r="D67" s="31" t="s">
        <v>152</v>
      </c>
      <c r="E67" s="57" t="s">
        <v>207</v>
      </c>
      <c r="F67" s="61" t="s">
        <v>266</v>
      </c>
      <c r="G67" s="62" t="s">
        <v>273</v>
      </c>
    </row>
    <row r="68" spans="1:7" s="11" customFormat="1" ht="25" x14ac:dyDescent="0.25">
      <c r="A68" s="18">
        <v>1</v>
      </c>
      <c r="B68" s="52" t="s">
        <v>33</v>
      </c>
      <c r="C68" s="19" t="s">
        <v>90</v>
      </c>
      <c r="D68" s="19" t="s">
        <v>153</v>
      </c>
      <c r="E68" s="58" t="s">
        <v>208</v>
      </c>
      <c r="F68" s="59" t="s">
        <v>267</v>
      </c>
      <c r="G68" s="63"/>
    </row>
    <row r="69" spans="1:7" s="11" customFormat="1" ht="25" x14ac:dyDescent="0.25">
      <c r="A69" s="30">
        <v>1</v>
      </c>
      <c r="B69" s="51" t="s">
        <v>33</v>
      </c>
      <c r="C69" s="31" t="s">
        <v>91</v>
      </c>
      <c r="D69" s="31" t="s">
        <v>154</v>
      </c>
      <c r="E69" s="57" t="s">
        <v>209</v>
      </c>
      <c r="F69" s="61" t="s">
        <v>268</v>
      </c>
      <c r="G69" s="62"/>
    </row>
    <row r="70" spans="1:7" s="11" customFormat="1" ht="50" x14ac:dyDescent="0.25">
      <c r="A70" s="18">
        <v>1</v>
      </c>
      <c r="B70" s="52" t="s">
        <v>33</v>
      </c>
      <c r="C70" s="19" t="s">
        <v>92</v>
      </c>
      <c r="D70" s="19" t="s">
        <v>155</v>
      </c>
      <c r="E70" s="58">
        <v>9031646921</v>
      </c>
      <c r="F70" s="59" t="s">
        <v>269</v>
      </c>
      <c r="G70" s="63"/>
    </row>
    <row r="71" spans="1:7" s="11" customFormat="1" ht="25" x14ac:dyDescent="0.25">
      <c r="A71" s="30">
        <v>6</v>
      </c>
      <c r="B71" s="51"/>
      <c r="C71" s="31" t="s">
        <v>93</v>
      </c>
      <c r="D71" s="31" t="s">
        <v>156</v>
      </c>
      <c r="E71" s="57"/>
      <c r="F71" s="61" t="s">
        <v>270</v>
      </c>
      <c r="G71" s="62"/>
    </row>
    <row r="72" spans="1:7" s="11" customFormat="1" ht="37.5" x14ac:dyDescent="0.25">
      <c r="A72" s="18">
        <v>0</v>
      </c>
      <c r="B72" s="52" t="s">
        <v>32</v>
      </c>
      <c r="C72" s="19" t="s">
        <v>94</v>
      </c>
      <c r="D72" s="19" t="s">
        <v>126</v>
      </c>
      <c r="E72" s="58" t="s">
        <v>183</v>
      </c>
      <c r="F72" s="59" t="s">
        <v>240</v>
      </c>
      <c r="G72" s="63"/>
    </row>
    <row r="73" spans="1:7" s="11" customFormat="1" ht="37.5" x14ac:dyDescent="0.25">
      <c r="A73" s="30">
        <v>0</v>
      </c>
      <c r="B73" s="51" t="s">
        <v>32</v>
      </c>
      <c r="C73" s="31" t="s">
        <v>95</v>
      </c>
      <c r="D73" s="31" t="s">
        <v>127</v>
      </c>
      <c r="E73" s="57" t="s">
        <v>184</v>
      </c>
      <c r="F73" s="61" t="s">
        <v>241</v>
      </c>
      <c r="G73" s="62"/>
    </row>
    <row r="74" spans="1:7" ht="25" x14ac:dyDescent="0.25">
      <c r="A74" s="18">
        <v>0</v>
      </c>
      <c r="B74" s="52" t="s">
        <v>33</v>
      </c>
      <c r="C74" s="19" t="s">
        <v>96</v>
      </c>
      <c r="D74" s="19" t="s">
        <v>157</v>
      </c>
      <c r="E74" s="58" t="s">
        <v>210</v>
      </c>
      <c r="F74" s="59" t="s">
        <v>271</v>
      </c>
      <c r="G74" s="63"/>
    </row>
    <row r="75" spans="1:7" x14ac:dyDescent="0.25">
      <c r="A75" s="29"/>
      <c r="B75" s="53"/>
      <c r="C75" s="28"/>
      <c r="D75" s="28"/>
      <c r="E75" s="60"/>
      <c r="F75" s="60"/>
      <c r="G75" s="64"/>
    </row>
    <row r="76" spans="1:7" x14ac:dyDescent="0.25">
      <c r="A76" s="33">
        <f>SUM(A13:A75)</f>
        <v>197</v>
      </c>
      <c r="B76" s="15"/>
      <c r="C76" s="15"/>
      <c r="D76" s="15"/>
      <c r="E76" s="16"/>
      <c r="F76" s="16"/>
      <c r="G76" s="22"/>
    </row>
    <row r="77" spans="1:7" x14ac:dyDescent="0.25">
      <c r="A77" s="23"/>
      <c r="B77" s="35"/>
      <c r="C77" s="15"/>
      <c r="D77" s="15"/>
      <c r="E77" s="16"/>
      <c r="F77" s="17"/>
      <c r="G77" s="22"/>
    </row>
    <row r="78" spans="1:7" ht="14" x14ac:dyDescent="0.25">
      <c r="A78" s="24"/>
      <c r="B78" s="26"/>
      <c r="C78" s="25"/>
      <c r="D78" s="25"/>
      <c r="E78" s="25"/>
      <c r="F78" s="26"/>
      <c r="G78" s="27"/>
    </row>
  </sheetData>
  <phoneticPr fontId="0" type="noConversion"/>
  <printOptions horizontalCentered="1"/>
  <pageMargins left="0.47244094488188981" right="0.35433070866141736" top="0.59055118110236227" bottom="0.59055118110236227" header="0.31496062992125984" footer="0.31496062992125984"/>
  <pageSetup paperSize="9" scale="82" fitToHeight="0" orientation="landscape" horizontalDpi="200" verticalDpi="200" r:id="rId1"/>
  <headerFooter alignWithMargins="0">
    <oddHeader>&amp;C&amp;"Arial,Fett"Bestückungsliste / Bill of Material</oddHeader>
    <oddFooter>&amp;L&amp;"Arial,Fett"Datei: &amp;F
Vorlage: BL_Template_40.xltx&amp;C&amp;"Arial,Fett"&amp;D&amp;R&amp;"Arial,Fett"Seite: &amp;P/&amp;N</oddFooter>
  </headerFooter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0" sqref="B10"/>
    </sheetView>
  </sheetViews>
  <sheetFormatPr baseColWidth="10" defaultColWidth="9.1796875" defaultRowHeight="12.5" x14ac:dyDescent="0.25"/>
  <cols>
    <col min="1" max="1" width="30.26953125" style="4" customWidth="1"/>
    <col min="2" max="2" width="108.54296875" style="4" customWidth="1"/>
  </cols>
  <sheetData>
    <row r="1" spans="1:2" s="6" customFormat="1" ht="17.25" customHeight="1" x14ac:dyDescent="0.25">
      <c r="A1" s="5" t="s">
        <v>0</v>
      </c>
      <c r="B1" s="68" t="s">
        <v>274</v>
      </c>
    </row>
    <row r="2" spans="1:2" s="6" customFormat="1" ht="17.25" customHeight="1" x14ac:dyDescent="0.25">
      <c r="A2" s="7" t="s">
        <v>1</v>
      </c>
      <c r="B2" s="69" t="s">
        <v>24</v>
      </c>
    </row>
    <row r="3" spans="1:2" s="6" customFormat="1" ht="17.25" customHeight="1" x14ac:dyDescent="0.25">
      <c r="A3" s="8" t="s">
        <v>2</v>
      </c>
      <c r="B3" s="70" t="s">
        <v>25</v>
      </c>
    </row>
    <row r="4" spans="1:2" s="6" customFormat="1" ht="17.25" customHeight="1" x14ac:dyDescent="0.25">
      <c r="A4" s="7" t="s">
        <v>3</v>
      </c>
      <c r="B4" s="69" t="s">
        <v>24</v>
      </c>
    </row>
    <row r="5" spans="1:2" s="6" customFormat="1" ht="17.25" customHeight="1" x14ac:dyDescent="0.25">
      <c r="A5" s="8" t="s">
        <v>4</v>
      </c>
      <c r="B5" s="70" t="s">
        <v>274</v>
      </c>
    </row>
    <row r="6" spans="1:2" s="6" customFormat="1" ht="17.25" customHeight="1" x14ac:dyDescent="0.25">
      <c r="A6" s="7" t="s">
        <v>5</v>
      </c>
      <c r="B6" s="69" t="s">
        <v>275</v>
      </c>
    </row>
    <row r="7" spans="1:2" s="6" customFormat="1" ht="17.25" customHeight="1" x14ac:dyDescent="0.25">
      <c r="A7" s="8" t="s">
        <v>6</v>
      </c>
      <c r="B7" s="70" t="s">
        <v>276</v>
      </c>
    </row>
    <row r="8" spans="1:2" s="6" customFormat="1" ht="17.25" customHeight="1" x14ac:dyDescent="0.25">
      <c r="A8" s="7" t="s">
        <v>7</v>
      </c>
      <c r="B8" s="69" t="s">
        <v>277</v>
      </c>
    </row>
    <row r="9" spans="1:2" s="6" customFormat="1" ht="17.25" customHeight="1" x14ac:dyDescent="0.25">
      <c r="A9" s="8" t="s">
        <v>8</v>
      </c>
      <c r="B9" s="70" t="s">
        <v>278</v>
      </c>
    </row>
    <row r="10" spans="1:2" s="6" customFormat="1" ht="17.25" customHeight="1" x14ac:dyDescent="0.25">
      <c r="A10" s="7" t="s">
        <v>9</v>
      </c>
      <c r="B10" s="71" t="s">
        <v>28</v>
      </c>
    </row>
    <row r="11" spans="1:2" s="6" customFormat="1" ht="17.25" customHeight="1" x14ac:dyDescent="0.25">
      <c r="A11" s="8" t="s">
        <v>10</v>
      </c>
      <c r="B11" s="70" t="s">
        <v>279</v>
      </c>
    </row>
    <row r="12" spans="1:2" s="6" customFormat="1" ht="17.25" customHeight="1" x14ac:dyDescent="0.25">
      <c r="A12" s="7" t="s">
        <v>11</v>
      </c>
      <c r="B12" s="69" t="s">
        <v>280</v>
      </c>
    </row>
    <row r="13" spans="1:2" s="6" customFormat="1" ht="17.25" customHeight="1" x14ac:dyDescent="0.25">
      <c r="A13" s="8" t="s">
        <v>12</v>
      </c>
      <c r="B13" s="70" t="s">
        <v>281</v>
      </c>
    </row>
    <row r="14" spans="1:2" s="6" customFormat="1" ht="17.25" customHeight="1" thickBot="1" x14ac:dyDescent="0.3">
      <c r="A14" s="9" t="s">
        <v>13</v>
      </c>
      <c r="B14" s="72" t="s">
        <v>282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BOM Report</vt:lpstr>
      <vt:lpstr>Project Information</vt:lpstr>
      <vt:lpstr>'BOM Report'!Druckbereich</vt:lpstr>
      <vt:lpstr>'BOM Report'!Drucktitel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Frantsits Karl</dc:creator>
  <cp:lastModifiedBy>Linder Thomas</cp:lastModifiedBy>
  <cp:lastPrinted>2022-12-20T07:40:08Z</cp:lastPrinted>
  <dcterms:created xsi:type="dcterms:W3CDTF">2000-10-27T00:30:29Z</dcterms:created>
  <dcterms:modified xsi:type="dcterms:W3CDTF">2024-10-28T12:31:11Z</dcterms:modified>
</cp:coreProperties>
</file>