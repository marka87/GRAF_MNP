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th\AppData\Local\Temp\"/>
    </mc:Choice>
  </mc:AlternateContent>
  <bookViews>
    <workbookView xWindow="6740" yWindow="80" windowWidth="15170" windowHeight="8820"/>
  </bookViews>
  <sheets>
    <sheet name="BOM Report" sheetId="1" r:id="rId1"/>
  </sheets>
  <definedNames>
    <definedName name="_xlnm.Print_Area" localSheetId="0">'BOM Report'!$A$1:$C$60</definedName>
    <definedName name="_xlnm.Print_Titles" localSheetId="0">'BOM Report'!$1:$1</definedName>
  </definedNames>
  <calcPr calcId="162913"/>
</workbook>
</file>

<file path=xl/calcChain.xml><?xml version="1.0" encoding="utf-8"?>
<calcChain xmlns="http://schemas.openxmlformats.org/spreadsheetml/2006/main">
  <c r="A60" i="1" l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2" i="1" l="1"/>
  <c r="A3" i="1"/>
</calcChain>
</file>

<file path=xl/sharedStrings.xml><?xml version="1.0" encoding="utf-8"?>
<sst xmlns="http://schemas.openxmlformats.org/spreadsheetml/2006/main" count="122" uniqueCount="122">
  <si>
    <t>Pos</t>
  </si>
  <si>
    <t>Ident</t>
  </si>
  <si>
    <t>KO104V50-S10</t>
  </si>
  <si>
    <t>KO106V50-S60</t>
  </si>
  <si>
    <t>KO4756V3-S11</t>
  </si>
  <si>
    <t>KO104V50-S03</t>
  </si>
  <si>
    <t>KO105V63-S26</t>
  </si>
  <si>
    <t>KO225V10-S11</t>
  </si>
  <si>
    <t>KO105V63-S20</t>
  </si>
  <si>
    <t>KO102V50-S35</t>
  </si>
  <si>
    <t>KO103V63-S52</t>
  </si>
  <si>
    <t>KO476V25-S15</t>
  </si>
  <si>
    <t>KO470V63-S16</t>
  </si>
  <si>
    <t>KO102V2000-S15</t>
  </si>
  <si>
    <t>DIMBRS340-S11</t>
  </si>
  <si>
    <t>ICUSB6B1-S10</t>
  </si>
  <si>
    <t>ETI20X8</t>
  </si>
  <si>
    <t>AD-FID-O-1.0MM</t>
  </si>
  <si>
    <t>ICSTM32F746-S11</t>
  </si>
  <si>
    <t>ICAD5684-S00</t>
  </si>
  <si>
    <t>ICADR3425ARJ-S10</t>
  </si>
  <si>
    <t>ICLTC3260-S10</t>
  </si>
  <si>
    <t>ICLM2676ADJ-S11</t>
  </si>
  <si>
    <t>ICFT230XQ-S10</t>
  </si>
  <si>
    <t>ICSN74LXCH-S00</t>
  </si>
  <si>
    <t>ICOP2177ARM-S10</t>
  </si>
  <si>
    <t>PAI336B-S11</t>
  </si>
  <si>
    <t>DIKP-1608SURC-S10</t>
  </si>
  <si>
    <t>DIKP-1608SYCK-S10</t>
  </si>
  <si>
    <t>DIKP-1608SGC-S10</t>
  </si>
  <si>
    <t>LKGRAFMNP_10</t>
  </si>
  <si>
    <t>HAQU25.00-S10</t>
  </si>
  <si>
    <t>WI1002-S17</t>
  </si>
  <si>
    <t>WI000R-S22</t>
  </si>
  <si>
    <t>WI2870-S10</t>
  </si>
  <si>
    <t>WI2200-S18</t>
  </si>
  <si>
    <t>WI20R0-S12</t>
  </si>
  <si>
    <t>WI47R0-S17</t>
  </si>
  <si>
    <t>WI33E0-S17</t>
  </si>
  <si>
    <t>WI9093-S00</t>
  </si>
  <si>
    <t>WI1003-S16</t>
  </si>
  <si>
    <t>WI2003-S15</t>
  </si>
  <si>
    <t>WI1741-S10</t>
  </si>
  <si>
    <t>WI1001-S19</t>
  </si>
  <si>
    <t>WI3161-S17</t>
  </si>
  <si>
    <t>WI27R0-S13</t>
  </si>
  <si>
    <t>WI5101-S16</t>
  </si>
  <si>
    <t>WI000R-S20</t>
  </si>
  <si>
    <t>WI1001-S42</t>
  </si>
  <si>
    <t>WI2001-S22</t>
  </si>
  <si>
    <t>PATASTKMT2-S10</t>
  </si>
  <si>
    <t>TAST_KSC2TE01J-S00</t>
  </si>
  <si>
    <t>TRBSS138-S20</t>
  </si>
  <si>
    <t>TRBSS84-S11</t>
  </si>
  <si>
    <t>TRBSS123-S20</t>
  </si>
  <si>
    <t>ST20G-K10</t>
  </si>
  <si>
    <t>ST106G06-K12</t>
  </si>
  <si>
    <t>PABUFH12-S21</t>
  </si>
  <si>
    <t>STSMDW53261-4P-S20</t>
  </si>
  <si>
    <t>ST632723300011-S10</t>
  </si>
  <si>
    <t>ST09031646921-K00</t>
  </si>
  <si>
    <t>Quantity</t>
  </si>
  <si>
    <t>Designator</t>
  </si>
  <si>
    <t>C200, C201, C203, C204, C321, C324, C325, C511, C517, C602, C700, C701, C702, C703, C704, C705, C706</t>
  </si>
  <si>
    <t>C202, C500, C501, C505, C506, C508, C509, C510, C514, C515, C516</t>
  </si>
  <si>
    <t>C300</t>
  </si>
  <si>
    <t>C302, C303, C304, C305, C306, C307, C308, C309, C310, C311, C312, C313, C314, C315, C316, C317, C318, C319</t>
  </si>
  <si>
    <t>C320</t>
  </si>
  <si>
    <t>C322, C323</t>
  </si>
  <si>
    <t>C400, C401, C503</t>
  </si>
  <si>
    <t>C402, C403, C404, C405</t>
  </si>
  <si>
    <t>C502, C504, C507, C513</t>
  </si>
  <si>
    <t>C512, C518</t>
  </si>
  <si>
    <t>C600, C601</t>
  </si>
  <si>
    <t>C603</t>
  </si>
  <si>
    <t>D500, D501</t>
  </si>
  <si>
    <t>D600</t>
  </si>
  <si>
    <t>ET100</t>
  </si>
  <si>
    <t>FID100, FID101, FID102, FID103, FID104, FID105</t>
  </si>
  <si>
    <t>IC1</t>
  </si>
  <si>
    <t>IC201</t>
  </si>
  <si>
    <t>IC300</t>
  </si>
  <si>
    <t>IC500</t>
  </si>
  <si>
    <t>IC501, IC502</t>
  </si>
  <si>
    <t>IC600</t>
  </si>
  <si>
    <t>IC700, IC701</t>
  </si>
  <si>
    <t>IC702, IC703, IC704</t>
  </si>
  <si>
    <t>L500, L501</t>
  </si>
  <si>
    <t>LED300</t>
  </si>
  <si>
    <t>LED301</t>
  </si>
  <si>
    <t>LED302, LED600, LED601</t>
  </si>
  <si>
    <t>LK100</t>
  </si>
  <si>
    <t>Q200</t>
  </si>
  <si>
    <t>R200, R204, R205, R206, R207, R209, R210, R211, R212, R213, R218, R307, R308, R309, R400, R402, R404, R406, R409, R411, R413, R415, R509, R510, R512, R600, R601, R608, R609, R611, R612</t>
  </si>
  <si>
    <t>R202, R208, R215, R217, R301, R303, R310, R408, R700, R701, R702, R703, R706, R711</t>
  </si>
  <si>
    <t>R304, R305</t>
  </si>
  <si>
    <t>R306, R603, R605</t>
  </si>
  <si>
    <t>R401, R405, R410, R414</t>
  </si>
  <si>
    <t>R403</t>
  </si>
  <si>
    <t>R407, R412</t>
  </si>
  <si>
    <t>R500, R503</t>
  </si>
  <si>
    <t>R501, R502</t>
  </si>
  <si>
    <t>R504</t>
  </si>
  <si>
    <t>R505</t>
  </si>
  <si>
    <t>R506, R508, R704, R705, R708, R710, R713, R715</t>
  </si>
  <si>
    <t>R507</t>
  </si>
  <si>
    <t>R602, R604</t>
  </si>
  <si>
    <t>R606, R607</t>
  </si>
  <si>
    <t>R610</t>
  </si>
  <si>
    <t>R707, R712</t>
  </si>
  <si>
    <t>R709, R714</t>
  </si>
  <si>
    <t>S200</t>
  </si>
  <si>
    <t>S201, S202, S203</t>
  </si>
  <si>
    <t>T300, T301, T302</t>
  </si>
  <si>
    <t>T400, T402, T404</t>
  </si>
  <si>
    <t>T401, T403, T405</t>
  </si>
  <si>
    <t>X202</t>
  </si>
  <si>
    <t>X203</t>
  </si>
  <si>
    <t>X400</t>
  </si>
  <si>
    <t>X401</t>
  </si>
  <si>
    <t>X600</t>
  </si>
  <si>
    <t>X700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</si>
</sst>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u/>
      <sz val="10"/>
      <color indexed="36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vertical="top" wrapText="1"/>
    </xf>
    <xf numFmtId="0" fontId="3" fillId="0" borderId="2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Border="1" applyAlignment="1">
      <alignment vertical="top" wrapText="1" shrinkToFit="1"/>
    </xf>
    <xf numFmtId="0" fontId="1" fillId="0" borderId="1" xfId="0" applyFont="1" applyBorder="1" applyAlignment="1">
      <alignment horizontal="left" vertical="top" wrapText="1" shrinkToFit="1"/>
    </xf>
    <xf numFmtId="0" fontId="6" fillId="2" borderId="3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0" fillId="0" borderId="4" xfId="0" applyFont="1" applyBorder="1" applyAlignment="1">
      <alignment vertical="top" wrapText="1" shrinkToFit="1"/>
    </xf>
    <xf numFmtId="0" fontId="0" fillId="0" borderId="1" xfId="0" applyFont="1" applyBorder="1" applyAlignment="1">
      <alignment vertical="top" wrapText="1" shrinkToFit="1"/>
    </xf>
  </cellXfs>
  <cellStyles count="2">
    <cellStyle name="Followed Hyperlink" xfId="1"/>
    <cellStyle name="Standard" xfId="0" builtinId="0"/>
  </cellStyles>
  <dxfs count="8">
    <dxf>
      <font>
        <strike val="0"/>
        <outline val="0"/>
        <shadow val="0"/>
        <u val="none"/>
        <vertAlign val="baseline"/>
        <name val="Arial"/>
        <scheme val="none"/>
      </font>
      <alignment vertical="top" textRotation="0" wrapText="1" justifyLastLine="0" shrinkToFit="1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top" textRotation="0" wrapText="1" indent="0" justifyLastLine="0" shrinkToFit="1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vertical="top" textRotation="0" wrapText="1" justifyLastLine="0" shrinkToFit="1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D60" totalsRowShown="0" headerRowDxfId="7" dataDxfId="5" headerRowBorderDxfId="6" tableBorderDxfId="4">
  <autoFilter ref="A1:D60"/>
  <tableColumns count="4">
    <tableColumn id="1" name="Pos" dataDxfId="3">
      <calculatedColumnFormula>(ROW(A2) - ROW($A$1))*10</calculatedColumnFormula>
    </tableColumn>
    <tableColumn id="3" name="Ident" dataDxfId="2"/>
    <tableColumn id="12" name="Quantity" dataDxfId="1"/>
    <tableColumn id="2" name="Designato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0"/>
  <sheetViews>
    <sheetView showGridLines="0" tabSelected="1" zoomScaleNormal="100" workbookViewId="0">
      <selection activeCell="D25" sqref="D25"/>
    </sheetView>
  </sheetViews>
  <sheetFormatPr baseColWidth="10" defaultColWidth="9.1796875" defaultRowHeight="12.5" x14ac:dyDescent="0.25"/>
  <cols>
    <col min="1" max="1" width="6.453125" style="1" bestFit="1" customWidth="1"/>
    <col min="2" max="2" width="30" style="2" customWidth="1"/>
    <col min="3" max="3" width="32.7265625" style="2" customWidth="1"/>
    <col min="4" max="4" width="97.81640625" style="1" customWidth="1"/>
    <col min="5" max="16384" width="9.1796875" style="1"/>
  </cols>
  <sheetData>
    <row r="1" spans="1:4" s="5" customFormat="1" ht="19.5" customHeight="1" x14ac:dyDescent="0.25">
      <c r="A1" s="4" t="s">
        <v>0</v>
      </c>
      <c r="B1" s="4" t="s">
        <v>1</v>
      </c>
      <c r="C1" s="8" t="s">
        <v>61</v>
      </c>
      <c r="D1" s="9" t="s">
        <v>62</v>
      </c>
    </row>
    <row r="2" spans="1:4" s="3" customFormat="1" x14ac:dyDescent="0.25">
      <c r="A2" s="6">
        <f t="shared" ref="A2:A60" si="0">(ROW(A2) - ROW($A$1))*10</f>
        <v>10</v>
      </c>
      <c r="B2" s="7" t="s">
        <v>2</v>
      </c>
      <c r="C2" s="7">
        <v>17</v>
      </c>
      <c r="D2" s="10" t="s">
        <v>63</v>
      </c>
    </row>
    <row r="3" spans="1:4" s="3" customFormat="1" x14ac:dyDescent="0.25">
      <c r="A3" s="6">
        <f t="shared" si="0"/>
        <v>20</v>
      </c>
      <c r="B3" s="7" t="s">
        <v>3</v>
      </c>
      <c r="C3" s="7">
        <v>11</v>
      </c>
      <c r="D3" s="11" t="s">
        <v>64</v>
      </c>
    </row>
    <row r="4" spans="1:4" s="3" customFormat="1" x14ac:dyDescent="0.25">
      <c r="A4" s="6">
        <f t="shared" si="0"/>
        <v>30</v>
      </c>
      <c r="B4" s="7" t="s">
        <v>4</v>
      </c>
      <c r="C4" s="7">
        <v>1</v>
      </c>
      <c r="D4" s="10" t="s">
        <v>65</v>
      </c>
    </row>
    <row r="5" spans="1:4" s="3" customFormat="1" x14ac:dyDescent="0.25">
      <c r="A5" s="6">
        <f t="shared" si="0"/>
        <v>40</v>
      </c>
      <c r="B5" s="7" t="s">
        <v>5</v>
      </c>
      <c r="C5" s="7">
        <v>18</v>
      </c>
      <c r="D5" s="11" t="s">
        <v>66</v>
      </c>
    </row>
    <row r="6" spans="1:4" s="3" customFormat="1" x14ac:dyDescent="0.25">
      <c r="A6" s="6">
        <f t="shared" si="0"/>
        <v>50</v>
      </c>
      <c r="B6" s="7" t="s">
        <v>6</v>
      </c>
      <c r="C6" s="7">
        <v>1</v>
      </c>
      <c r="D6" s="10" t="s">
        <v>67</v>
      </c>
    </row>
    <row r="7" spans="1:4" s="3" customFormat="1" x14ac:dyDescent="0.25">
      <c r="A7" s="6">
        <f t="shared" si="0"/>
        <v>60</v>
      </c>
      <c r="B7" s="7" t="s">
        <v>7</v>
      </c>
      <c r="C7" s="7">
        <v>2</v>
      </c>
      <c r="D7" s="11" t="s">
        <v>68</v>
      </c>
    </row>
    <row r="8" spans="1:4" s="3" customFormat="1" x14ac:dyDescent="0.25">
      <c r="A8" s="6">
        <f t="shared" si="0"/>
        <v>70</v>
      </c>
      <c r="B8" s="7" t="s">
        <v>8</v>
      </c>
      <c r="C8" s="7">
        <v>3</v>
      </c>
      <c r="D8" s="10" t="s">
        <v>69</v>
      </c>
    </row>
    <row r="9" spans="1:4" s="3" customFormat="1" x14ac:dyDescent="0.25">
      <c r="A9" s="6">
        <f t="shared" si="0"/>
        <v>80</v>
      </c>
      <c r="B9" s="7" t="s">
        <v>9</v>
      </c>
      <c r="C9" s="7">
        <v>4</v>
      </c>
      <c r="D9" s="11" t="s">
        <v>70</v>
      </c>
    </row>
    <row r="10" spans="1:4" s="3" customFormat="1" x14ac:dyDescent="0.25">
      <c r="A10" s="6">
        <f t="shared" si="0"/>
        <v>90</v>
      </c>
      <c r="B10" s="7" t="s">
        <v>10</v>
      </c>
      <c r="C10" s="7">
        <v>4</v>
      </c>
      <c r="D10" s="10" t="s">
        <v>71</v>
      </c>
    </row>
    <row r="11" spans="1:4" s="3" customFormat="1" x14ac:dyDescent="0.25">
      <c r="A11" s="6">
        <f t="shared" si="0"/>
        <v>100</v>
      </c>
      <c r="B11" s="7" t="s">
        <v>11</v>
      </c>
      <c r="C11" s="7">
        <v>2</v>
      </c>
      <c r="D11" s="11" t="s">
        <v>72</v>
      </c>
    </row>
    <row r="12" spans="1:4" s="3" customFormat="1" x14ac:dyDescent="0.25">
      <c r="A12" s="6">
        <f t="shared" si="0"/>
        <v>110</v>
      </c>
      <c r="B12" s="7" t="s">
        <v>12</v>
      </c>
      <c r="C12" s="7">
        <v>2</v>
      </c>
      <c r="D12" s="10" t="s">
        <v>73</v>
      </c>
    </row>
    <row r="13" spans="1:4" s="3" customFormat="1" x14ac:dyDescent="0.25">
      <c r="A13" s="6">
        <f t="shared" si="0"/>
        <v>120</v>
      </c>
      <c r="B13" s="7" t="s">
        <v>13</v>
      </c>
      <c r="C13" s="7">
        <v>1</v>
      </c>
      <c r="D13" s="11" t="s">
        <v>74</v>
      </c>
    </row>
    <row r="14" spans="1:4" s="3" customFormat="1" x14ac:dyDescent="0.25">
      <c r="A14" s="6">
        <f t="shared" si="0"/>
        <v>130</v>
      </c>
      <c r="B14" s="7" t="s">
        <v>14</v>
      </c>
      <c r="C14" s="7">
        <v>2</v>
      </c>
      <c r="D14" s="10" t="s">
        <v>75</v>
      </c>
    </row>
    <row r="15" spans="1:4" s="3" customFormat="1" x14ac:dyDescent="0.25">
      <c r="A15" s="6">
        <f t="shared" si="0"/>
        <v>140</v>
      </c>
      <c r="B15" s="7" t="s">
        <v>15</v>
      </c>
      <c r="C15" s="7">
        <v>1</v>
      </c>
      <c r="D15" s="11" t="s">
        <v>76</v>
      </c>
    </row>
    <row r="16" spans="1:4" s="3" customFormat="1" x14ac:dyDescent="0.25">
      <c r="A16" s="6">
        <f t="shared" si="0"/>
        <v>150</v>
      </c>
      <c r="B16" s="7" t="s">
        <v>16</v>
      </c>
      <c r="C16" s="7">
        <v>1</v>
      </c>
      <c r="D16" s="10" t="s">
        <v>77</v>
      </c>
    </row>
    <row r="17" spans="1:4" s="3" customFormat="1" x14ac:dyDescent="0.25">
      <c r="A17" s="6">
        <f t="shared" si="0"/>
        <v>160</v>
      </c>
      <c r="B17" s="7" t="s">
        <v>17</v>
      </c>
      <c r="C17" s="7">
        <v>6</v>
      </c>
      <c r="D17" s="11" t="s">
        <v>78</v>
      </c>
    </row>
    <row r="18" spans="1:4" s="3" customFormat="1" x14ac:dyDescent="0.25">
      <c r="A18" s="6">
        <f t="shared" si="0"/>
        <v>170</v>
      </c>
      <c r="B18" s="7" t="s">
        <v>18</v>
      </c>
      <c r="C18" s="7">
        <v>1</v>
      </c>
      <c r="D18" s="10" t="s">
        <v>79</v>
      </c>
    </row>
    <row r="19" spans="1:4" s="3" customFormat="1" x14ac:dyDescent="0.25">
      <c r="A19" s="6">
        <f t="shared" si="0"/>
        <v>180</v>
      </c>
      <c r="B19" s="7" t="s">
        <v>19</v>
      </c>
      <c r="C19" s="7">
        <v>1</v>
      </c>
      <c r="D19" s="11" t="s">
        <v>80</v>
      </c>
    </row>
    <row r="20" spans="1:4" s="3" customFormat="1" x14ac:dyDescent="0.25">
      <c r="A20" s="6">
        <f t="shared" si="0"/>
        <v>190</v>
      </c>
      <c r="B20" s="7" t="s">
        <v>20</v>
      </c>
      <c r="C20" s="7">
        <v>1</v>
      </c>
      <c r="D20" s="10" t="s">
        <v>81</v>
      </c>
    </row>
    <row r="21" spans="1:4" s="3" customFormat="1" x14ac:dyDescent="0.25">
      <c r="A21" s="6">
        <f t="shared" si="0"/>
        <v>200</v>
      </c>
      <c r="B21" s="7" t="s">
        <v>21</v>
      </c>
      <c r="C21" s="7">
        <v>1</v>
      </c>
      <c r="D21" s="11" t="s">
        <v>82</v>
      </c>
    </row>
    <row r="22" spans="1:4" s="3" customFormat="1" x14ac:dyDescent="0.25">
      <c r="A22" s="6">
        <f t="shared" si="0"/>
        <v>210</v>
      </c>
      <c r="B22" s="7" t="s">
        <v>22</v>
      </c>
      <c r="C22" s="7">
        <v>2</v>
      </c>
      <c r="D22" s="10" t="s">
        <v>83</v>
      </c>
    </row>
    <row r="23" spans="1:4" s="3" customFormat="1" x14ac:dyDescent="0.25">
      <c r="A23" s="6">
        <f t="shared" si="0"/>
        <v>220</v>
      </c>
      <c r="B23" s="7" t="s">
        <v>23</v>
      </c>
      <c r="C23" s="7">
        <v>1</v>
      </c>
      <c r="D23" s="11" t="s">
        <v>84</v>
      </c>
    </row>
    <row r="24" spans="1:4" s="3" customFormat="1" x14ac:dyDescent="0.25">
      <c r="A24" s="6">
        <f t="shared" si="0"/>
        <v>230</v>
      </c>
      <c r="B24" s="7" t="s">
        <v>24</v>
      </c>
      <c r="C24" s="7">
        <v>2</v>
      </c>
      <c r="D24" s="10" t="s">
        <v>85</v>
      </c>
    </row>
    <row r="25" spans="1:4" s="3" customFormat="1" x14ac:dyDescent="0.25">
      <c r="A25" s="6">
        <f t="shared" si="0"/>
        <v>240</v>
      </c>
      <c r="B25" s="7" t="s">
        <v>25</v>
      </c>
      <c r="C25" s="7">
        <v>3</v>
      </c>
      <c r="D25" s="11" t="s">
        <v>86</v>
      </c>
    </row>
    <row r="26" spans="1:4" s="3" customFormat="1" x14ac:dyDescent="0.25">
      <c r="A26" s="6">
        <f t="shared" si="0"/>
        <v>250</v>
      </c>
      <c r="B26" s="7" t="s">
        <v>26</v>
      </c>
      <c r="C26" s="7">
        <v>2</v>
      </c>
      <c r="D26" s="10" t="s">
        <v>87</v>
      </c>
    </row>
    <row r="27" spans="1:4" s="3" customFormat="1" x14ac:dyDescent="0.25">
      <c r="A27" s="6">
        <f t="shared" si="0"/>
        <v>260</v>
      </c>
      <c r="B27" s="7" t="s">
        <v>27</v>
      </c>
      <c r="C27" s="7">
        <v>1</v>
      </c>
      <c r="D27" s="11" t="s">
        <v>88</v>
      </c>
    </row>
    <row r="28" spans="1:4" s="3" customFormat="1" x14ac:dyDescent="0.25">
      <c r="A28" s="6">
        <f t="shared" si="0"/>
        <v>270</v>
      </c>
      <c r="B28" s="7" t="s">
        <v>28</v>
      </c>
      <c r="C28" s="7">
        <v>1</v>
      </c>
      <c r="D28" s="10" t="s">
        <v>89</v>
      </c>
    </row>
    <row r="29" spans="1:4" s="3" customFormat="1" x14ac:dyDescent="0.25">
      <c r="A29" s="6">
        <f t="shared" si="0"/>
        <v>280</v>
      </c>
      <c r="B29" s="7" t="s">
        <v>29</v>
      </c>
      <c r="C29" s="7">
        <v>3</v>
      </c>
      <c r="D29" s="11" t="s">
        <v>90</v>
      </c>
    </row>
    <row r="30" spans="1:4" s="3" customFormat="1" x14ac:dyDescent="0.25">
      <c r="A30" s="6">
        <f t="shared" si="0"/>
        <v>290</v>
      </c>
      <c r="B30" s="7" t="s">
        <v>30</v>
      </c>
      <c r="C30" s="7">
        <v>1</v>
      </c>
      <c r="D30" s="10" t="s">
        <v>91</v>
      </c>
    </row>
    <row r="31" spans="1:4" s="3" customFormat="1" x14ac:dyDescent="0.25">
      <c r="A31" s="6">
        <f t="shared" si="0"/>
        <v>300</v>
      </c>
      <c r="B31" s="7" t="s">
        <v>31</v>
      </c>
      <c r="C31" s="7">
        <v>1</v>
      </c>
      <c r="D31" s="11" t="s">
        <v>92</v>
      </c>
    </row>
    <row r="32" spans="1:4" s="3" customFormat="1" ht="25" x14ac:dyDescent="0.25">
      <c r="A32" s="6">
        <f t="shared" si="0"/>
        <v>310</v>
      </c>
      <c r="B32" s="7" t="s">
        <v>32</v>
      </c>
      <c r="C32" s="7">
        <v>31</v>
      </c>
      <c r="D32" s="10" t="s">
        <v>93</v>
      </c>
    </row>
    <row r="33" spans="1:4" s="3" customFormat="1" x14ac:dyDescent="0.25">
      <c r="A33" s="6">
        <f t="shared" si="0"/>
        <v>320</v>
      </c>
      <c r="B33" s="7" t="s">
        <v>33</v>
      </c>
      <c r="C33" s="7">
        <v>14</v>
      </c>
      <c r="D33" s="11" t="s">
        <v>94</v>
      </c>
    </row>
    <row r="34" spans="1:4" s="3" customFormat="1" x14ac:dyDescent="0.25">
      <c r="A34" s="6">
        <f t="shared" si="0"/>
        <v>330</v>
      </c>
      <c r="B34" s="7" t="s">
        <v>34</v>
      </c>
      <c r="C34" s="7">
        <v>2</v>
      </c>
      <c r="D34" s="10" t="s">
        <v>95</v>
      </c>
    </row>
    <row r="35" spans="1:4" s="3" customFormat="1" x14ac:dyDescent="0.25">
      <c r="A35" s="6">
        <f t="shared" si="0"/>
        <v>340</v>
      </c>
      <c r="B35" s="7" t="s">
        <v>35</v>
      </c>
      <c r="C35" s="7">
        <v>3</v>
      </c>
      <c r="D35" s="11" t="s">
        <v>96</v>
      </c>
    </row>
    <row r="36" spans="1:4" s="3" customFormat="1" x14ac:dyDescent="0.25">
      <c r="A36" s="6">
        <f t="shared" si="0"/>
        <v>350</v>
      </c>
      <c r="B36" s="7" t="s">
        <v>36</v>
      </c>
      <c r="C36" s="7">
        <v>4</v>
      </c>
      <c r="D36" s="10" t="s">
        <v>97</v>
      </c>
    </row>
    <row r="37" spans="1:4" s="3" customFormat="1" x14ac:dyDescent="0.25">
      <c r="A37" s="6">
        <f t="shared" si="0"/>
        <v>360</v>
      </c>
      <c r="B37" s="7" t="s">
        <v>37</v>
      </c>
      <c r="C37" s="7">
        <v>1</v>
      </c>
      <c r="D37" s="11" t="s">
        <v>98</v>
      </c>
    </row>
    <row r="38" spans="1:4" s="3" customFormat="1" x14ac:dyDescent="0.25">
      <c r="A38" s="6">
        <f t="shared" si="0"/>
        <v>370</v>
      </c>
      <c r="B38" s="7" t="s">
        <v>38</v>
      </c>
      <c r="C38" s="7">
        <v>2</v>
      </c>
      <c r="D38" s="10" t="s">
        <v>99</v>
      </c>
    </row>
    <row r="39" spans="1:4" s="3" customFormat="1" x14ac:dyDescent="0.25">
      <c r="A39" s="6">
        <f t="shared" si="0"/>
        <v>380</v>
      </c>
      <c r="B39" s="7" t="s">
        <v>39</v>
      </c>
      <c r="C39" s="7">
        <v>2</v>
      </c>
      <c r="D39" s="11" t="s">
        <v>100</v>
      </c>
    </row>
    <row r="40" spans="1:4" s="3" customFormat="1" x14ac:dyDescent="0.25">
      <c r="A40" s="6">
        <f t="shared" si="0"/>
        <v>390</v>
      </c>
      <c r="B40" s="7" t="s">
        <v>40</v>
      </c>
      <c r="C40" s="7">
        <v>2</v>
      </c>
      <c r="D40" s="10" t="s">
        <v>101</v>
      </c>
    </row>
    <row r="41" spans="1:4" s="3" customFormat="1" x14ac:dyDescent="0.25">
      <c r="A41" s="6">
        <f t="shared" si="0"/>
        <v>400</v>
      </c>
      <c r="B41" s="7" t="s">
        <v>41</v>
      </c>
      <c r="C41" s="7">
        <v>1</v>
      </c>
      <c r="D41" s="11" t="s">
        <v>102</v>
      </c>
    </row>
    <row r="42" spans="1:4" s="3" customFormat="1" x14ac:dyDescent="0.25">
      <c r="A42" s="6">
        <f t="shared" si="0"/>
        <v>410</v>
      </c>
      <c r="B42" s="7" t="s">
        <v>42</v>
      </c>
      <c r="C42" s="7">
        <v>1</v>
      </c>
      <c r="D42" s="10" t="s">
        <v>103</v>
      </c>
    </row>
    <row r="43" spans="1:4" s="3" customFormat="1" x14ac:dyDescent="0.25">
      <c r="A43" s="6">
        <f t="shared" si="0"/>
        <v>420</v>
      </c>
      <c r="B43" s="7" t="s">
        <v>43</v>
      </c>
      <c r="C43" s="7">
        <v>8</v>
      </c>
      <c r="D43" s="11" t="s">
        <v>104</v>
      </c>
    </row>
    <row r="44" spans="1:4" s="3" customFormat="1" x14ac:dyDescent="0.25">
      <c r="A44" s="6">
        <f t="shared" si="0"/>
        <v>430</v>
      </c>
      <c r="B44" s="7" t="s">
        <v>44</v>
      </c>
      <c r="C44" s="7">
        <v>1</v>
      </c>
      <c r="D44" s="10" t="s">
        <v>105</v>
      </c>
    </row>
    <row r="45" spans="1:4" s="3" customFormat="1" x14ac:dyDescent="0.25">
      <c r="A45" s="6">
        <f t="shared" si="0"/>
        <v>440</v>
      </c>
      <c r="B45" s="7" t="s">
        <v>45</v>
      </c>
      <c r="C45" s="7">
        <v>2</v>
      </c>
      <c r="D45" s="11" t="s">
        <v>106</v>
      </c>
    </row>
    <row r="46" spans="1:4" s="3" customFormat="1" x14ac:dyDescent="0.25">
      <c r="A46" s="6">
        <f t="shared" si="0"/>
        <v>450</v>
      </c>
      <c r="B46" s="7" t="s">
        <v>46</v>
      </c>
      <c r="C46" s="7">
        <v>2</v>
      </c>
      <c r="D46" s="10" t="s">
        <v>107</v>
      </c>
    </row>
    <row r="47" spans="1:4" s="3" customFormat="1" x14ac:dyDescent="0.25">
      <c r="A47" s="6">
        <f t="shared" si="0"/>
        <v>460</v>
      </c>
      <c r="B47" s="7" t="s">
        <v>47</v>
      </c>
      <c r="C47" s="7">
        <v>1</v>
      </c>
      <c r="D47" s="11" t="s">
        <v>108</v>
      </c>
    </row>
    <row r="48" spans="1:4" s="3" customFormat="1" x14ac:dyDescent="0.25">
      <c r="A48" s="6">
        <f t="shared" si="0"/>
        <v>470</v>
      </c>
      <c r="B48" s="7" t="s">
        <v>48</v>
      </c>
      <c r="C48" s="7">
        <v>2</v>
      </c>
      <c r="D48" s="10" t="s">
        <v>109</v>
      </c>
    </row>
    <row r="49" spans="1:4" s="3" customFormat="1" x14ac:dyDescent="0.25">
      <c r="A49" s="6">
        <f t="shared" si="0"/>
        <v>480</v>
      </c>
      <c r="B49" s="7" t="s">
        <v>49</v>
      </c>
      <c r="C49" s="7">
        <v>2</v>
      </c>
      <c r="D49" s="11" t="s">
        <v>110</v>
      </c>
    </row>
    <row r="50" spans="1:4" s="3" customFormat="1" x14ac:dyDescent="0.25">
      <c r="A50" s="6">
        <f t="shared" si="0"/>
        <v>490</v>
      </c>
      <c r="B50" s="7" t="s">
        <v>50</v>
      </c>
      <c r="C50" s="7">
        <v>1</v>
      </c>
      <c r="D50" s="10" t="s">
        <v>111</v>
      </c>
    </row>
    <row r="51" spans="1:4" s="3" customFormat="1" x14ac:dyDescent="0.25">
      <c r="A51" s="6">
        <f t="shared" si="0"/>
        <v>500</v>
      </c>
      <c r="B51" s="7" t="s">
        <v>51</v>
      </c>
      <c r="C51" s="7">
        <v>3</v>
      </c>
      <c r="D51" s="11" t="s">
        <v>112</v>
      </c>
    </row>
    <row r="52" spans="1:4" s="3" customFormat="1" x14ac:dyDescent="0.25">
      <c r="A52" s="6">
        <f t="shared" si="0"/>
        <v>510</v>
      </c>
      <c r="B52" s="7" t="s">
        <v>52</v>
      </c>
      <c r="C52" s="7">
        <v>3</v>
      </c>
      <c r="D52" s="10" t="s">
        <v>113</v>
      </c>
    </row>
    <row r="53" spans="1:4" s="3" customFormat="1" x14ac:dyDescent="0.25">
      <c r="A53" s="6">
        <f t="shared" si="0"/>
        <v>520</v>
      </c>
      <c r="B53" s="7" t="s">
        <v>53</v>
      </c>
      <c r="C53" s="7">
        <v>3</v>
      </c>
      <c r="D53" s="11" t="s">
        <v>114</v>
      </c>
    </row>
    <row r="54" spans="1:4" s="3" customFormat="1" x14ac:dyDescent="0.25">
      <c r="A54" s="6">
        <f t="shared" si="0"/>
        <v>530</v>
      </c>
      <c r="B54" s="7" t="s">
        <v>54</v>
      </c>
      <c r="C54" s="7">
        <v>3</v>
      </c>
      <c r="D54" s="10" t="s">
        <v>115</v>
      </c>
    </row>
    <row r="55" spans="1:4" s="3" customFormat="1" x14ac:dyDescent="0.25">
      <c r="A55" s="6">
        <f t="shared" si="0"/>
        <v>540</v>
      </c>
      <c r="B55" s="7" t="s">
        <v>55</v>
      </c>
      <c r="C55" s="7">
        <v>1</v>
      </c>
      <c r="D55" s="11" t="s">
        <v>116</v>
      </c>
    </row>
    <row r="56" spans="1:4" s="3" customFormat="1" x14ac:dyDescent="0.25">
      <c r="A56" s="6">
        <f t="shared" si="0"/>
        <v>550</v>
      </c>
      <c r="B56" s="7" t="s">
        <v>56</v>
      </c>
      <c r="C56" s="7">
        <v>1</v>
      </c>
      <c r="D56" s="10" t="s">
        <v>117</v>
      </c>
    </row>
    <row r="57" spans="1:4" s="3" customFormat="1" x14ac:dyDescent="0.25">
      <c r="A57" s="6">
        <f t="shared" si="0"/>
        <v>560</v>
      </c>
      <c r="B57" s="7" t="s">
        <v>57</v>
      </c>
      <c r="C57" s="7">
        <v>1</v>
      </c>
      <c r="D57" s="11" t="s">
        <v>118</v>
      </c>
    </row>
    <row r="58" spans="1:4" s="3" customFormat="1" x14ac:dyDescent="0.25">
      <c r="A58" s="6">
        <f t="shared" si="0"/>
        <v>570</v>
      </c>
      <c r="B58" s="7" t="s">
        <v>58</v>
      </c>
      <c r="C58" s="7">
        <v>1</v>
      </c>
      <c r="D58" s="10" t="s">
        <v>119</v>
      </c>
    </row>
    <row r="59" spans="1:4" s="3" customFormat="1" x14ac:dyDescent="0.25">
      <c r="A59" s="6">
        <f t="shared" si="0"/>
        <v>580</v>
      </c>
      <c r="B59" s="7" t="s">
        <v>59</v>
      </c>
      <c r="C59" s="7">
        <v>1</v>
      </c>
      <c r="D59" s="11" t="s">
        <v>120</v>
      </c>
    </row>
    <row r="60" spans="1:4" s="3" customFormat="1" x14ac:dyDescent="0.25">
      <c r="A60" s="6">
        <f t="shared" si="0"/>
        <v>590</v>
      </c>
      <c r="B60" s="7" t="s">
        <v>60</v>
      </c>
      <c r="C60" s="7">
        <v>1</v>
      </c>
      <c r="D60" s="10" t="s">
        <v>121</v>
      </c>
    </row>
  </sheetData>
  <phoneticPr fontId="0" type="noConversion"/>
  <printOptions horizontalCentered="1"/>
  <pageMargins left="0.47244094488188981" right="0.35433070866141736" top="0.59055118110236227" bottom="0.39370078740157483" header="0.31496062992125984" footer="0.31496062992125984"/>
  <pageSetup paperSize="9" fitToHeight="0" orientation="landscape" horizontalDpi="200" verticalDpi="200" r:id="rId1"/>
  <headerFooter alignWithMargins="0">
    <oddHeader>&amp;C&amp;"Arial,Fett"Bestückungsliste / Bill of Material</oddHeader>
    <oddFooter>&amp;L&amp;"Arial,Fett"Datei: &amp;F
Vorlage: BL_Template_20.xltx&amp;C&amp;"Arial,Fett"&amp;D&amp;R&amp;"Arial,Fett"Seite: 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BOM Report</vt:lpstr>
      <vt:lpstr>'BOM Report'!Druckbereich</vt:lpstr>
      <vt:lpstr>'BOM Report'!Drucktitel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Frantsits Karl</dc:creator>
  <cp:lastModifiedBy>Linder Thomas</cp:lastModifiedBy>
  <cp:lastPrinted>2012-03-06T09:57:05Z</cp:lastPrinted>
  <dcterms:created xsi:type="dcterms:W3CDTF">2000-10-27T00:30:29Z</dcterms:created>
  <dcterms:modified xsi:type="dcterms:W3CDTF">2024-10-28T12:31:27Z</dcterms:modified>
</cp:coreProperties>
</file>